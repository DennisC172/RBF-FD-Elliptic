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chart13.xml" ContentType="application/vnd.openxmlformats-officedocument.drawingml.chart+xml"/>
  <Override PartName="/xl/charts/chart15.xml" ContentType="application/vnd.openxmlformats-officedocument.drawingml.chart+xml"/>
  <Override PartName="/xl/charts/chart14.xml" ContentType="application/vnd.openxmlformats-officedocument.drawingml.char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10.xml" ContentType="application/vnd.openxmlformats-officedocument.drawingml.chart+xml"/>
  <Override PartName="/xl/charts/chart6.xml" ContentType="application/vnd.openxmlformats-officedocument.drawingml.chart+xml"/>
  <Override PartName="/xl/charts/chart11.xml" ContentType="application/vnd.openxmlformats-officedocument.drawingml.chart+xml"/>
  <Override PartName="/xl/charts/chart7.xml" ContentType="application/vnd.openxmlformats-officedocument.drawingml.chart+xml"/>
  <Override PartName="/xl/charts/chart12.xml" ContentType="application/vnd.openxmlformats-officedocument.drawingml.chart+xml"/>
  <Override PartName="/xl/charts/chart8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rid Size" sheetId="1" state="visible" r:id="rId3"/>
    <sheet name="Stencil Nodes" sheetId="2" state="visible" r:id="rId4"/>
    <sheet name="Center Rings" sheetId="3" state="visible" r:id="rId5"/>
    <sheet name="Eigenvalue Ratio" sheetId="4" state="visible" r:id="rId6"/>
    <sheet name="Eigenvector Angle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<sst xmlns="http://schemas.openxmlformats.org/spreadsheetml/2006/main" count="119" uniqueCount="17">
  <si>
    <t xml:space="preserve">Nx</t>
  </si>
  <si>
    <t xml:space="preserve">Ny</t>
  </si>
  <si>
    <t xml:space="preserve">num_stencil_nodes</t>
  </si>
  <si>
    <t xml:space="preserve">num_rings</t>
  </si>
  <si>
    <t xml:space="preserve">eigenvalue 1</t>
  </si>
  <si>
    <t xml:space="preserve">eigenvalue 2</t>
  </si>
  <si>
    <t xml:space="preserve">radian = r/24</t>
  </si>
  <si>
    <t xml:space="preserve">augmentation</t>
  </si>
  <si>
    <t xml:space="preserve">sparse</t>
  </si>
  <si>
    <t xml:space="preserve">max_error_rel</t>
  </si>
  <si>
    <t xml:space="preserve">l2_error_rel</t>
  </si>
  <si>
    <t xml:space="preserve">energy_error_rel</t>
  </si>
  <si>
    <t xml:space="preserve">varied_param</t>
  </si>
  <si>
    <t xml:space="preserve">varied_value</t>
  </si>
  <si>
    <t xml:space="preserve">N_int</t>
  </si>
  <si>
    <t xml:space="preserve">eig_2</t>
  </si>
  <si>
    <t xml:space="preserve">rad24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</si>
</sst>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A7EBB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max_error_rel vs varied_value (Grid Size)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'Grid Size'!J1</c:f>
              <c:strCache>
                <c:ptCount val="1"/>
                <c:pt idx="0">
                  <c:v>max_error_rel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circle"/>
            <c:size val="6"/>
            <c:spPr>
              <a:solidFill>
                <a:srgbClr val="4a7eb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'Grid Size'!$N$2:$N$8</c:f>
              <c:numCache>
                <c:formatCode>General</c:formatCode>
                <c:ptCount val="7"/>
                <c:pt idx="0">
                  <c:v>20</c:v>
                </c:pt>
                <c:pt idx="1">
                  <c:v>30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</c:numCache>
            </c:numRef>
          </c:xVal>
          <c:yVal>
            <c:numRef>
              <c:f>'Grid Size'!$J$2:$J$8</c:f>
              <c:numCache>
                <c:formatCode>General</c:formatCode>
                <c:ptCount val="7"/>
                <c:pt idx="0">
                  <c:v>0.0281985436181458</c:v>
                </c:pt>
                <c:pt idx="1">
                  <c:v>0.0200446435240451</c:v>
                </c:pt>
                <c:pt idx="2">
                  <c:v>0.0121525263546687</c:v>
                </c:pt>
                <c:pt idx="3">
                  <c:v>0.0154745328979971</c:v>
                </c:pt>
                <c:pt idx="4">
                  <c:v>0.0137478367573181</c:v>
                </c:pt>
                <c:pt idx="5">
                  <c:v>0.0156955401999994</c:v>
                </c:pt>
                <c:pt idx="6">
                  <c:v>0.01118900796601</c:v>
                </c:pt>
              </c:numCache>
            </c:numRef>
          </c:yVal>
          <c:smooth val="1"/>
        </c:ser>
        <c:axId val="18809262"/>
        <c:axId val="31666473"/>
      </c:scatterChart>
      <c:valAx>
        <c:axId val="18809262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varied_value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1666473"/>
        <c:crosses val="autoZero"/>
        <c:crossBetween val="midCat"/>
      </c:valAx>
      <c:valAx>
        <c:axId val="31666473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max_error_rel (log scale)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8809262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l2_error_rel vs varied_value (Grid Size)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'Grid Size'!K1</c:f>
              <c:strCache>
                <c:ptCount val="1"/>
                <c:pt idx="0">
                  <c:v>l2_error_rel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circle"/>
            <c:size val="6"/>
            <c:spPr>
              <a:solidFill>
                <a:srgbClr val="4a7eb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'Grid Size'!$N$2:$N$8</c:f>
              <c:numCache>
                <c:formatCode>General</c:formatCode>
                <c:ptCount val="7"/>
                <c:pt idx="0">
                  <c:v>20</c:v>
                </c:pt>
                <c:pt idx="1">
                  <c:v>30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</c:numCache>
            </c:numRef>
          </c:xVal>
          <c:yVal>
            <c:numRef>
              <c:f>'Grid Size'!$K$2:$K$8</c:f>
              <c:numCache>
                <c:formatCode>General</c:formatCode>
                <c:ptCount val="7"/>
                <c:pt idx="0">
                  <c:v>0.00467641637318694</c:v>
                </c:pt>
                <c:pt idx="1">
                  <c:v>0.00368778710340658</c:v>
                </c:pt>
                <c:pt idx="2">
                  <c:v>0.00260669132211047</c:v>
                </c:pt>
                <c:pt idx="3">
                  <c:v>0.00274171335801953</c:v>
                </c:pt>
                <c:pt idx="4">
                  <c:v>0.00225692597630717</c:v>
                </c:pt>
                <c:pt idx="5">
                  <c:v>0.00193875485883978</c:v>
                </c:pt>
                <c:pt idx="6">
                  <c:v>0.00181636349833396</c:v>
                </c:pt>
              </c:numCache>
            </c:numRef>
          </c:yVal>
          <c:smooth val="1"/>
        </c:ser>
        <c:axId val="38654170"/>
        <c:axId val="67710875"/>
      </c:scatterChart>
      <c:valAx>
        <c:axId val="38654170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varied_value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7710875"/>
        <c:crosses val="autoZero"/>
        <c:crossBetween val="midCat"/>
      </c:valAx>
      <c:valAx>
        <c:axId val="67710875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l2_error_rel (log scale)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8654170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energy_error_rel vs varied_value (Grid Size)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'Grid Size'!L1</c:f>
              <c:strCache>
                <c:ptCount val="1"/>
                <c:pt idx="0">
                  <c:v>energy_error_rel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circle"/>
            <c:size val="6"/>
            <c:spPr>
              <a:solidFill>
                <a:srgbClr val="4a7eb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'Grid Size'!$N$2:$N$8</c:f>
              <c:numCache>
                <c:formatCode>General</c:formatCode>
                <c:ptCount val="7"/>
                <c:pt idx="0">
                  <c:v>20</c:v>
                </c:pt>
                <c:pt idx="1">
                  <c:v>30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</c:numCache>
            </c:numRef>
          </c:xVal>
          <c:yVal>
            <c:numRef>
              <c:f>'Grid Size'!$L$2:$L$8</c:f>
              <c:numCache>
                <c:formatCode>General</c:formatCode>
                <c:ptCount val="7"/>
                <c:pt idx="0">
                  <c:v>0.011434364734443</c:v>
                </c:pt>
                <c:pt idx="1">
                  <c:v>0.0148164215866484</c:v>
                </c:pt>
                <c:pt idx="2">
                  <c:v>0.00124279727959651</c:v>
                </c:pt>
                <c:pt idx="3">
                  <c:v>0.0022858163269339</c:v>
                </c:pt>
                <c:pt idx="4">
                  <c:v>0.000836685217153581</c:v>
                </c:pt>
                <c:pt idx="5">
                  <c:v>0.000934862781837788</c:v>
                </c:pt>
                <c:pt idx="6">
                  <c:v>0.00102481453974662</c:v>
                </c:pt>
              </c:numCache>
            </c:numRef>
          </c:yVal>
          <c:smooth val="1"/>
        </c:ser>
        <c:axId val="91916593"/>
        <c:axId val="34134087"/>
      </c:scatterChart>
      <c:valAx>
        <c:axId val="91916593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varied_value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4134087"/>
        <c:crosses val="autoZero"/>
        <c:crossBetween val="midCat"/>
      </c:valAx>
      <c:valAx>
        <c:axId val="34134087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energy_error_rel (log scale)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1916593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max_error_rel vs varied_value (Stencil Nodes)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'Stencil Nodes'!J1</c:f>
              <c:strCache>
                <c:ptCount val="1"/>
                <c:pt idx="0">
                  <c:v>max_error_rel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circle"/>
            <c:size val="6"/>
            <c:spPr>
              <a:solidFill>
                <a:srgbClr val="4a7eb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'Stencil Nodes'!$N$2:$N$13</c:f>
              <c:numCache>
                <c:formatCode>General</c:formatCode>
                <c:ptCount val="12"/>
                <c:pt idx="0">
                  <c:v>15</c:v>
                </c:pt>
                <c:pt idx="1">
                  <c:v>25</c:v>
                </c:pt>
                <c:pt idx="2">
                  <c:v>40</c:v>
                </c:pt>
                <c:pt idx="3">
                  <c:v>50</c:v>
                </c:pt>
                <c:pt idx="4">
                  <c:v>65</c:v>
                </c:pt>
                <c:pt idx="5">
                  <c:v>75</c:v>
                </c:pt>
                <c:pt idx="6">
                  <c:v>85</c:v>
                </c:pt>
                <c:pt idx="7">
                  <c:v>100</c:v>
                </c:pt>
                <c:pt idx="8">
                  <c:v>115</c:v>
                </c:pt>
                <c:pt idx="9">
                  <c:v>130</c:v>
                </c:pt>
                <c:pt idx="10">
                  <c:v>150</c:v>
                </c:pt>
                <c:pt idx="11">
                  <c:v>200</c:v>
                </c:pt>
              </c:numCache>
            </c:numRef>
          </c:xVal>
          <c:yVal>
            <c:numRef>
              <c:f>'Stencil Nodes'!$J$2:$J$13</c:f>
              <c:numCache>
                <c:formatCode>General</c:formatCode>
                <c:ptCount val="12"/>
                <c:pt idx="0">
                  <c:v>0.0461468374564902</c:v>
                </c:pt>
                <c:pt idx="1">
                  <c:v>0.0142065204254891</c:v>
                </c:pt>
                <c:pt idx="2">
                  <c:v>0.0108560193372114</c:v>
                </c:pt>
                <c:pt idx="3">
                  <c:v>0.012677433539622</c:v>
                </c:pt>
                <c:pt idx="4">
                  <c:v>0.0200606832845551</c:v>
                </c:pt>
                <c:pt idx="5">
                  <c:v>0.01541481617312</c:v>
                </c:pt>
                <c:pt idx="6">
                  <c:v>0.0119749231024571</c:v>
                </c:pt>
                <c:pt idx="7">
                  <c:v>0.0137478367573181</c:v>
                </c:pt>
                <c:pt idx="8">
                  <c:v>0.0119857039760802</c:v>
                </c:pt>
                <c:pt idx="9">
                  <c:v>0.0142717665887915</c:v>
                </c:pt>
                <c:pt idx="10">
                  <c:v>0.0211684559898231</c:v>
                </c:pt>
                <c:pt idx="11">
                  <c:v>0.0142891105300009</c:v>
                </c:pt>
              </c:numCache>
            </c:numRef>
          </c:yVal>
          <c:smooth val="1"/>
        </c:ser>
        <c:axId val="30757889"/>
        <c:axId val="33321640"/>
      </c:scatterChart>
      <c:valAx>
        <c:axId val="30757889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varied_value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3321640"/>
        <c:crosses val="autoZero"/>
        <c:crossBetween val="midCat"/>
      </c:valAx>
      <c:valAx>
        <c:axId val="33321640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max_error_rel (log scale)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0757889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l2_error_rel vs varied_value (Stencil Nodes)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'Stencil Nodes'!K1</c:f>
              <c:strCache>
                <c:ptCount val="1"/>
                <c:pt idx="0">
                  <c:v>l2_error_rel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circle"/>
            <c:size val="6"/>
            <c:spPr>
              <a:solidFill>
                <a:srgbClr val="4a7eb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'Stencil Nodes'!$N$2:$N$13</c:f>
              <c:numCache>
                <c:formatCode>General</c:formatCode>
                <c:ptCount val="12"/>
                <c:pt idx="0">
                  <c:v>15</c:v>
                </c:pt>
                <c:pt idx="1">
                  <c:v>25</c:v>
                </c:pt>
                <c:pt idx="2">
                  <c:v>40</c:v>
                </c:pt>
                <c:pt idx="3">
                  <c:v>50</c:v>
                </c:pt>
                <c:pt idx="4">
                  <c:v>65</c:v>
                </c:pt>
                <c:pt idx="5">
                  <c:v>75</c:v>
                </c:pt>
                <c:pt idx="6">
                  <c:v>85</c:v>
                </c:pt>
                <c:pt idx="7">
                  <c:v>100</c:v>
                </c:pt>
                <c:pt idx="8">
                  <c:v>115</c:v>
                </c:pt>
                <c:pt idx="9">
                  <c:v>130</c:v>
                </c:pt>
                <c:pt idx="10">
                  <c:v>150</c:v>
                </c:pt>
                <c:pt idx="11">
                  <c:v>200</c:v>
                </c:pt>
              </c:numCache>
            </c:numRef>
          </c:xVal>
          <c:yVal>
            <c:numRef>
              <c:f>'Stencil Nodes'!$K$2:$K$13</c:f>
              <c:numCache>
                <c:formatCode>General</c:formatCode>
                <c:ptCount val="12"/>
                <c:pt idx="0">
                  <c:v>0.039658183336865</c:v>
                </c:pt>
                <c:pt idx="1">
                  <c:v>0.0136568320688954</c:v>
                </c:pt>
                <c:pt idx="2">
                  <c:v>0.00701789892861885</c:v>
                </c:pt>
                <c:pt idx="3">
                  <c:v>0.00991300813327295</c:v>
                </c:pt>
                <c:pt idx="4">
                  <c:v>0.00446173570692979</c:v>
                </c:pt>
                <c:pt idx="5">
                  <c:v>0.00353540109168083</c:v>
                </c:pt>
                <c:pt idx="6">
                  <c:v>0.00508813381647334</c:v>
                </c:pt>
                <c:pt idx="7">
                  <c:v>0.00225692597630717</c:v>
                </c:pt>
                <c:pt idx="8">
                  <c:v>0.00329206984309375</c:v>
                </c:pt>
                <c:pt idx="9">
                  <c:v>0.00193090537601797</c:v>
                </c:pt>
                <c:pt idx="10">
                  <c:v>0.0024068563109565</c:v>
                </c:pt>
                <c:pt idx="11">
                  <c:v>0.00205110208659674</c:v>
                </c:pt>
              </c:numCache>
            </c:numRef>
          </c:yVal>
          <c:smooth val="1"/>
        </c:ser>
        <c:axId val="19788228"/>
        <c:axId val="21778544"/>
      </c:scatterChart>
      <c:valAx>
        <c:axId val="19788228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varied_value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1778544"/>
        <c:crosses val="autoZero"/>
        <c:crossBetween val="midCat"/>
      </c:valAx>
      <c:valAx>
        <c:axId val="21778544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l2_error_rel (log scale)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9788228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energy_error_rel vs varied_value (Stencil Nodes)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'Stencil Nodes'!L1</c:f>
              <c:strCache>
                <c:ptCount val="1"/>
                <c:pt idx="0">
                  <c:v>energy_error_rel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circle"/>
            <c:size val="6"/>
            <c:spPr>
              <a:solidFill>
                <a:srgbClr val="4a7eb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'Stencil Nodes'!$N$2:$N$13</c:f>
              <c:numCache>
                <c:formatCode>General</c:formatCode>
                <c:ptCount val="12"/>
                <c:pt idx="0">
                  <c:v>15</c:v>
                </c:pt>
                <c:pt idx="1">
                  <c:v>25</c:v>
                </c:pt>
                <c:pt idx="2">
                  <c:v>40</c:v>
                </c:pt>
                <c:pt idx="3">
                  <c:v>50</c:v>
                </c:pt>
                <c:pt idx="4">
                  <c:v>65</c:v>
                </c:pt>
                <c:pt idx="5">
                  <c:v>75</c:v>
                </c:pt>
                <c:pt idx="6">
                  <c:v>85</c:v>
                </c:pt>
                <c:pt idx="7">
                  <c:v>100</c:v>
                </c:pt>
                <c:pt idx="8">
                  <c:v>115</c:v>
                </c:pt>
                <c:pt idx="9">
                  <c:v>130</c:v>
                </c:pt>
                <c:pt idx="10">
                  <c:v>150</c:v>
                </c:pt>
                <c:pt idx="11">
                  <c:v>200</c:v>
                </c:pt>
              </c:numCache>
            </c:numRef>
          </c:xVal>
          <c:yVal>
            <c:numRef>
              <c:f>'Stencil Nodes'!$L$2:$L$13</c:f>
              <c:numCache>
                <c:formatCode>General</c:formatCode>
                <c:ptCount val="12"/>
                <c:pt idx="0">
                  <c:v>0.0410421429453453</c:v>
                </c:pt>
                <c:pt idx="1">
                  <c:v>0.0137310010469214</c:v>
                </c:pt>
                <c:pt idx="2">
                  <c:v>0.026653436573671</c:v>
                </c:pt>
                <c:pt idx="3">
                  <c:v>0.00973839167383124</c:v>
                </c:pt>
                <c:pt idx="4">
                  <c:v>0.00441000852109681</c:v>
                </c:pt>
                <c:pt idx="5">
                  <c:v>0.00159174908210612</c:v>
                </c:pt>
                <c:pt idx="6">
                  <c:v>0.00444916831941672</c:v>
                </c:pt>
                <c:pt idx="7">
                  <c:v>0.000836685217153581</c:v>
                </c:pt>
                <c:pt idx="8">
                  <c:v>0.00328340323738631</c:v>
                </c:pt>
                <c:pt idx="9">
                  <c:v>0.00193842907462706</c:v>
                </c:pt>
                <c:pt idx="10">
                  <c:v>0.00240854784708327</c:v>
                </c:pt>
                <c:pt idx="11">
                  <c:v>66.961493388455</c:v>
                </c:pt>
              </c:numCache>
            </c:numRef>
          </c:yVal>
          <c:smooth val="1"/>
        </c:ser>
        <c:axId val="27651057"/>
        <c:axId val="31783873"/>
      </c:scatterChart>
      <c:valAx>
        <c:axId val="27651057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varied_value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1783873"/>
        <c:crosses val="autoZero"/>
        <c:crossBetween val="midCat"/>
      </c:valAx>
      <c:valAx>
        <c:axId val="31783873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energy_error_rel (log scale)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7651057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max_error_rel vs varied_value (Center Rings)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'Center Rings'!J1</c:f>
              <c:strCache>
                <c:ptCount val="1"/>
                <c:pt idx="0">
                  <c:v>max_error_rel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circle"/>
            <c:size val="6"/>
            <c:spPr>
              <a:solidFill>
                <a:srgbClr val="4a7eb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'Center Rings'!$N$2:$N$9</c:f>
              <c:numCache>
                <c:formatCode>General</c:formatCode>
                <c:ptCount val="8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</c:numCache>
            </c:numRef>
          </c:xVal>
          <c:yVal>
            <c:numRef>
              <c:f>'Center Rings'!$J$2:$J$9</c:f>
              <c:numCache>
                <c:formatCode>General</c:formatCode>
                <c:ptCount val="8"/>
                <c:pt idx="0">
                  <c:v>0.244127561450341</c:v>
                </c:pt>
                <c:pt idx="1">
                  <c:v>0.223352329941918</c:v>
                </c:pt>
                <c:pt idx="2">
                  <c:v>1.81500703653177</c:v>
                </c:pt>
                <c:pt idx="3">
                  <c:v>0.0207999535309043</c:v>
                </c:pt>
                <c:pt idx="4">
                  <c:v>0.0137473974714908</c:v>
                </c:pt>
                <c:pt idx="5">
                  <c:v>0.0137478367573181</c:v>
                </c:pt>
                <c:pt idx="6">
                  <c:v>0.0138533408241983</c:v>
                </c:pt>
                <c:pt idx="7">
                  <c:v>0.0140439924697944</c:v>
                </c:pt>
              </c:numCache>
            </c:numRef>
          </c:yVal>
          <c:smooth val="1"/>
        </c:ser>
        <c:axId val="32103725"/>
        <c:axId val="39389381"/>
      </c:scatterChart>
      <c:valAx>
        <c:axId val="32103725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varied_value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9389381"/>
        <c:crosses val="autoZero"/>
        <c:crossBetween val="midCat"/>
      </c:valAx>
      <c:valAx>
        <c:axId val="39389381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max_error_rel (log scale)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2103725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l2_error_rel vs varied_value (Center Rings)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'Center Rings'!K1</c:f>
              <c:strCache>
                <c:ptCount val="1"/>
                <c:pt idx="0">
                  <c:v>l2_error_rel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circle"/>
            <c:size val="6"/>
            <c:spPr>
              <a:solidFill>
                <a:srgbClr val="4a7eb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'Center Rings'!$N$2:$N$9</c:f>
              <c:numCache>
                <c:formatCode>General</c:formatCode>
                <c:ptCount val="8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</c:numCache>
            </c:numRef>
          </c:xVal>
          <c:yVal>
            <c:numRef>
              <c:f>'Center Rings'!$K$2:$K$9</c:f>
              <c:numCache>
                <c:formatCode>General</c:formatCode>
                <c:ptCount val="8"/>
                <c:pt idx="0">
                  <c:v>0.0180439092396577</c:v>
                </c:pt>
                <c:pt idx="1">
                  <c:v>0.00719239892170844</c:v>
                </c:pt>
                <c:pt idx="2">
                  <c:v>0.0330753581374234</c:v>
                </c:pt>
                <c:pt idx="3">
                  <c:v>0.00257237964899982</c:v>
                </c:pt>
                <c:pt idx="4">
                  <c:v>0.00231686441845232</c:v>
                </c:pt>
                <c:pt idx="5">
                  <c:v>0.00225692597630717</c:v>
                </c:pt>
                <c:pt idx="6">
                  <c:v>0.00227044618029301</c:v>
                </c:pt>
                <c:pt idx="7">
                  <c:v>0.00230558955959203</c:v>
                </c:pt>
              </c:numCache>
            </c:numRef>
          </c:yVal>
          <c:smooth val="1"/>
        </c:ser>
        <c:axId val="53388530"/>
        <c:axId val="94621652"/>
      </c:scatterChart>
      <c:valAx>
        <c:axId val="53388530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varied_value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4621652"/>
        <c:crosses val="autoZero"/>
        <c:crossBetween val="midCat"/>
      </c:valAx>
      <c:valAx>
        <c:axId val="94621652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l2_error_rel (log scale)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3388530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energy_error_rel vs varied_value (Center Rings)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'Center Rings'!L1</c:f>
              <c:strCache>
                <c:ptCount val="1"/>
                <c:pt idx="0">
                  <c:v>energy_error_rel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circle"/>
            <c:size val="6"/>
            <c:spPr>
              <a:solidFill>
                <a:srgbClr val="4a7eb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'Center Rings'!$N$2:$N$9</c:f>
              <c:numCache>
                <c:formatCode>General</c:formatCode>
                <c:ptCount val="8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</c:numCache>
            </c:numRef>
          </c:xVal>
          <c:yVal>
            <c:numRef>
              <c:f>'Center Rings'!$L$2:$L$9</c:f>
              <c:numCache>
                <c:formatCode>General</c:formatCode>
                <c:ptCount val="8"/>
                <c:pt idx="0">
                  <c:v>3318.57370370642</c:v>
                </c:pt>
                <c:pt idx="1">
                  <c:v>0.0478534824250995</c:v>
                </c:pt>
                <c:pt idx="2">
                  <c:v>9.44300796294033</c:v>
                </c:pt>
                <c:pt idx="3">
                  <c:v>0.00118010553875164</c:v>
                </c:pt>
                <c:pt idx="4">
                  <c:v>0.000900790581753096</c:v>
                </c:pt>
                <c:pt idx="5">
                  <c:v>0.000836685217153581</c:v>
                </c:pt>
                <c:pt idx="6">
                  <c:v>0.00152645121129881</c:v>
                </c:pt>
                <c:pt idx="7">
                  <c:v>0.00100486034728107</c:v>
                </c:pt>
              </c:numCache>
            </c:numRef>
          </c:yVal>
          <c:smooth val="1"/>
        </c:ser>
        <c:axId val="75504076"/>
        <c:axId val="46555442"/>
      </c:scatterChart>
      <c:valAx>
        <c:axId val="75504076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varied_value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6555442"/>
        <c:crosses val="autoZero"/>
        <c:crossBetween val="midCat"/>
      </c:valAx>
      <c:valAx>
        <c:axId val="46555442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energy_error_rel (log scale)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5504076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max_error_rel vs varied_value (Eigenvalue Ratio)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'Eigenvalue Ratio'!J1</c:f>
              <c:strCache>
                <c:ptCount val="1"/>
                <c:pt idx="0">
                  <c:v>max_error_rel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circle"/>
            <c:size val="6"/>
            <c:spPr>
              <a:solidFill>
                <a:srgbClr val="4a7eb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'Eigenvalue Ratio'!$N$2:$N$14</c:f>
              <c:numCache>
                <c:formatCode>General</c:formatCode>
                <c:ptCount val="13"/>
                <c:pt idx="0">
                  <c:v>10</c:v>
                </c:pt>
                <c:pt idx="1">
                  <c:v>5</c:v>
                </c:pt>
                <c:pt idx="2">
                  <c:v>1</c:v>
                </c:pt>
                <c:pt idx="3">
                  <c:v>0.5</c:v>
                </c:pt>
                <c:pt idx="4">
                  <c:v>0.1</c:v>
                </c:pt>
                <c:pt idx="5">
                  <c:v>0.05</c:v>
                </c:pt>
                <c:pt idx="6">
                  <c:v>0.01</c:v>
                </c:pt>
                <c:pt idx="7">
                  <c:v>0.005</c:v>
                </c:pt>
                <c:pt idx="8">
                  <c:v>0.001</c:v>
                </c:pt>
                <c:pt idx="9">
                  <c:v>0.0005</c:v>
                </c:pt>
                <c:pt idx="10">
                  <c:v>0.0001</c:v>
                </c:pt>
                <c:pt idx="11">
                  <c:v>5E-005</c:v>
                </c:pt>
                <c:pt idx="12">
                  <c:v>1E-005</c:v>
                </c:pt>
              </c:numCache>
            </c:numRef>
          </c:xVal>
          <c:yVal>
            <c:numRef>
              <c:f>'Eigenvalue Ratio'!$J$2:$J$14</c:f>
              <c:numCache>
                <c:formatCode>General</c:formatCode>
                <c:ptCount val="13"/>
                <c:pt idx="0">
                  <c:v>0.134670619230747</c:v>
                </c:pt>
                <c:pt idx="1">
                  <c:v>0.0679145713720573</c:v>
                </c:pt>
                <c:pt idx="2">
                  <c:v>0.0150713433669694</c:v>
                </c:pt>
                <c:pt idx="3">
                  <c:v>0.0144004991214501</c:v>
                </c:pt>
                <c:pt idx="4">
                  <c:v>0.0138652928216914</c:v>
                </c:pt>
                <c:pt idx="5">
                  <c:v>0.0138034738359778</c:v>
                </c:pt>
                <c:pt idx="6">
                  <c:v>0.0137540186565133</c:v>
                </c:pt>
                <c:pt idx="7">
                  <c:v>0.0137478367573181</c:v>
                </c:pt>
                <c:pt idx="8">
                  <c:v>0.0137428912350401</c:v>
                </c:pt>
                <c:pt idx="9">
                  <c:v>0.0137422730514487</c:v>
                </c:pt>
                <c:pt idx="10">
                  <c:v>0.0137417784929284</c:v>
                </c:pt>
                <c:pt idx="11">
                  <c:v>0.0137417166746161</c:v>
                </c:pt>
                <c:pt idx="12">
                  <c:v>0.0137416672292687</c:v>
                </c:pt>
              </c:numCache>
            </c:numRef>
          </c:yVal>
          <c:smooth val="1"/>
        </c:ser>
        <c:axId val="39051977"/>
        <c:axId val="43991899"/>
      </c:scatterChart>
      <c:valAx>
        <c:axId val="39051977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varied_value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3991899"/>
        <c:crosses val="autoZero"/>
        <c:crossBetween val="midCat"/>
      </c:valAx>
      <c:valAx>
        <c:axId val="43991899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max_error_rel (log scale)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9051977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l2_error_rel vs varied_value (Eigenvalue Ratio)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'Eigenvalue Ratio'!K1</c:f>
              <c:strCache>
                <c:ptCount val="1"/>
                <c:pt idx="0">
                  <c:v>l2_error_rel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circle"/>
            <c:size val="6"/>
            <c:spPr>
              <a:solidFill>
                <a:srgbClr val="4a7eb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'Eigenvalue Ratio'!$N$2:$N$14</c:f>
              <c:numCache>
                <c:formatCode>General</c:formatCode>
                <c:ptCount val="13"/>
                <c:pt idx="0">
                  <c:v>10</c:v>
                </c:pt>
                <c:pt idx="1">
                  <c:v>5</c:v>
                </c:pt>
                <c:pt idx="2">
                  <c:v>1</c:v>
                </c:pt>
                <c:pt idx="3">
                  <c:v>0.5</c:v>
                </c:pt>
                <c:pt idx="4">
                  <c:v>0.1</c:v>
                </c:pt>
                <c:pt idx="5">
                  <c:v>0.05</c:v>
                </c:pt>
                <c:pt idx="6">
                  <c:v>0.01</c:v>
                </c:pt>
                <c:pt idx="7">
                  <c:v>0.005</c:v>
                </c:pt>
                <c:pt idx="8">
                  <c:v>0.001</c:v>
                </c:pt>
                <c:pt idx="9">
                  <c:v>0.0005</c:v>
                </c:pt>
                <c:pt idx="10">
                  <c:v>0.0001</c:v>
                </c:pt>
                <c:pt idx="11">
                  <c:v>5E-005</c:v>
                </c:pt>
                <c:pt idx="12">
                  <c:v>1E-005</c:v>
                </c:pt>
              </c:numCache>
            </c:numRef>
          </c:xVal>
          <c:yVal>
            <c:numRef>
              <c:f>'Eigenvalue Ratio'!$K$2:$K$14</c:f>
              <c:numCache>
                <c:formatCode>General</c:formatCode>
                <c:ptCount val="13"/>
                <c:pt idx="0">
                  <c:v>0.0200976874628649</c:v>
                </c:pt>
                <c:pt idx="1">
                  <c:v>0.00992428636893862</c:v>
                </c:pt>
                <c:pt idx="2">
                  <c:v>0.00261152404396205</c:v>
                </c:pt>
                <c:pt idx="3">
                  <c:v>0.00221426037012022</c:v>
                </c:pt>
                <c:pt idx="4">
                  <c:v>0.00221267994815037</c:v>
                </c:pt>
                <c:pt idx="5">
                  <c:v>0.0022339418437342</c:v>
                </c:pt>
                <c:pt idx="6">
                  <c:v>0.00225419563402296</c:v>
                </c:pt>
                <c:pt idx="7">
                  <c:v>0.00225692597630717</c:v>
                </c:pt>
                <c:pt idx="8">
                  <c:v>0.00225914166277068</c:v>
                </c:pt>
                <c:pt idx="9">
                  <c:v>0.00225942058301051</c:v>
                </c:pt>
                <c:pt idx="10">
                  <c:v>0.00225964403219149</c:v>
                </c:pt>
                <c:pt idx="11">
                  <c:v>0.00225967198231589</c:v>
                </c:pt>
                <c:pt idx="12">
                  <c:v>0.00225969434602604</c:v>
                </c:pt>
              </c:numCache>
            </c:numRef>
          </c:yVal>
          <c:smooth val="1"/>
        </c:ser>
        <c:axId val="50009684"/>
        <c:axId val="85848643"/>
      </c:scatterChart>
      <c:valAx>
        <c:axId val="50009684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varied_value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5848643"/>
        <c:crosses val="autoZero"/>
        <c:crossBetween val="midCat"/>
      </c:valAx>
      <c:valAx>
        <c:axId val="85848643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l2_error_rel (log scale)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0009684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energy_error_rel vs varied_value (Eigenvalue Ratio)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'Eigenvalue Ratio'!L1</c:f>
              <c:strCache>
                <c:ptCount val="1"/>
                <c:pt idx="0">
                  <c:v>energy_error_rel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circle"/>
            <c:size val="6"/>
            <c:spPr>
              <a:solidFill>
                <a:srgbClr val="4a7eb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'Eigenvalue Ratio'!$N$2:$N$14</c:f>
              <c:numCache>
                <c:formatCode>General</c:formatCode>
                <c:ptCount val="13"/>
                <c:pt idx="0">
                  <c:v>10</c:v>
                </c:pt>
                <c:pt idx="1">
                  <c:v>5</c:v>
                </c:pt>
                <c:pt idx="2">
                  <c:v>1</c:v>
                </c:pt>
                <c:pt idx="3">
                  <c:v>0.5</c:v>
                </c:pt>
                <c:pt idx="4">
                  <c:v>0.1</c:v>
                </c:pt>
                <c:pt idx="5">
                  <c:v>0.05</c:v>
                </c:pt>
                <c:pt idx="6">
                  <c:v>0.01</c:v>
                </c:pt>
                <c:pt idx="7">
                  <c:v>0.005</c:v>
                </c:pt>
                <c:pt idx="8">
                  <c:v>0.001</c:v>
                </c:pt>
                <c:pt idx="9">
                  <c:v>0.0005</c:v>
                </c:pt>
                <c:pt idx="10">
                  <c:v>0.0001</c:v>
                </c:pt>
                <c:pt idx="11">
                  <c:v>5E-005</c:v>
                </c:pt>
                <c:pt idx="12">
                  <c:v>1E-005</c:v>
                </c:pt>
              </c:numCache>
            </c:numRef>
          </c:xVal>
          <c:yVal>
            <c:numRef>
              <c:f>'Eigenvalue Ratio'!$L$2:$L$14</c:f>
              <c:numCache>
                <c:formatCode>General</c:formatCode>
                <c:ptCount val="13"/>
                <c:pt idx="0">
                  <c:v>0.339044896484622</c:v>
                </c:pt>
                <c:pt idx="1">
                  <c:v>0.000269069343643397</c:v>
                </c:pt>
                <c:pt idx="2">
                  <c:v>0.000235040356868189</c:v>
                </c:pt>
                <c:pt idx="3">
                  <c:v>0.000317489179136728</c:v>
                </c:pt>
                <c:pt idx="4">
                  <c:v>0.000627399000116814</c:v>
                </c:pt>
                <c:pt idx="5">
                  <c:v>0.000672845861215745</c:v>
                </c:pt>
                <c:pt idx="6">
                  <c:v>0.000858147617612396</c:v>
                </c:pt>
                <c:pt idx="7">
                  <c:v>0.000836685217153581</c:v>
                </c:pt>
                <c:pt idx="8">
                  <c:v>0.00150995110141693</c:v>
                </c:pt>
                <c:pt idx="9">
                  <c:v>0.00146681096033738</c:v>
                </c:pt>
                <c:pt idx="10">
                  <c:v>0.00262029308055716</c:v>
                </c:pt>
                <c:pt idx="11">
                  <c:v>0.00206129569329189</c:v>
                </c:pt>
                <c:pt idx="12">
                  <c:v>0.0027867142818486</c:v>
                </c:pt>
              </c:numCache>
            </c:numRef>
          </c:yVal>
          <c:smooth val="1"/>
        </c:ser>
        <c:axId val="61224388"/>
        <c:axId val="7521371"/>
      </c:scatterChart>
      <c:valAx>
        <c:axId val="61224388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varied_value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521371"/>
        <c:crosses val="autoZero"/>
        <c:crossBetween val="midCat"/>
      </c:valAx>
      <c:valAx>
        <c:axId val="7521371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energy_error_rel (log scale)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1224388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max_error_rel vs varied_value (Eigenvector Angle)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'Eigenvector Angle'!J1</c:f>
              <c:strCache>
                <c:ptCount val="1"/>
                <c:pt idx="0">
                  <c:v>max_error_rel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circle"/>
            <c:size val="6"/>
            <c:spPr>
              <a:solidFill>
                <a:srgbClr val="4a7eb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'Eigenvector Angle'!$N$2:$N$10</c:f>
              <c:numCache>
                <c:formatCode>General</c:formatCode>
                <c:ptCount val="9"/>
                <c:pt idx="0">
                  <c:v>0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12</c:v>
                </c:pt>
                <c:pt idx="5">
                  <c:v>16</c:v>
                </c:pt>
                <c:pt idx="6">
                  <c:v>18</c:v>
                </c:pt>
                <c:pt idx="7">
                  <c:v>20</c:v>
                </c:pt>
                <c:pt idx="8">
                  <c:v>24</c:v>
                </c:pt>
              </c:numCache>
            </c:numRef>
          </c:xVal>
          <c:yVal>
            <c:numRef>
              <c:f>'Eigenvector Angle'!$J$2:$J$10</c:f>
              <c:numCache>
                <c:formatCode>General</c:formatCode>
                <c:ptCount val="9"/>
                <c:pt idx="0">
                  <c:v>0.013357002228413</c:v>
                </c:pt>
                <c:pt idx="1">
                  <c:v>0.0104881616281001</c:v>
                </c:pt>
                <c:pt idx="2">
                  <c:v>0.00771132529945573</c:v>
                </c:pt>
                <c:pt idx="3">
                  <c:v>0.010768580256099</c:v>
                </c:pt>
                <c:pt idx="4">
                  <c:v>0.0137478367573181</c:v>
                </c:pt>
                <c:pt idx="5">
                  <c:v>0.0107813751780851</c:v>
                </c:pt>
                <c:pt idx="6">
                  <c:v>0.00771944099705257</c:v>
                </c:pt>
                <c:pt idx="7">
                  <c:v>0.0104164780625065</c:v>
                </c:pt>
                <c:pt idx="8">
                  <c:v>0.0133570023154971</c:v>
                </c:pt>
              </c:numCache>
            </c:numRef>
          </c:yVal>
          <c:smooth val="1"/>
        </c:ser>
        <c:axId val="4199643"/>
        <c:axId val="22407959"/>
      </c:scatterChart>
      <c:valAx>
        <c:axId val="4199643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varied_value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2407959"/>
        <c:crosses val="autoZero"/>
        <c:crossBetween val="midCat"/>
      </c:valAx>
      <c:valAx>
        <c:axId val="22407959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max_error_rel (log scale)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199643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l2_error_rel vs varied_value (Eigenvector Angle)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'Eigenvector Angle'!K1</c:f>
              <c:strCache>
                <c:ptCount val="1"/>
                <c:pt idx="0">
                  <c:v>l2_error_rel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circle"/>
            <c:size val="6"/>
            <c:spPr>
              <a:solidFill>
                <a:srgbClr val="4a7eb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'Eigenvector Angle'!$N$2:$N$10</c:f>
              <c:numCache>
                <c:formatCode>General</c:formatCode>
                <c:ptCount val="9"/>
                <c:pt idx="0">
                  <c:v>0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12</c:v>
                </c:pt>
                <c:pt idx="5">
                  <c:v>16</c:v>
                </c:pt>
                <c:pt idx="6">
                  <c:v>18</c:v>
                </c:pt>
                <c:pt idx="7">
                  <c:v>20</c:v>
                </c:pt>
                <c:pt idx="8">
                  <c:v>24</c:v>
                </c:pt>
              </c:numCache>
            </c:numRef>
          </c:xVal>
          <c:yVal>
            <c:numRef>
              <c:f>'Eigenvector Angle'!$K$2:$K$10</c:f>
              <c:numCache>
                <c:formatCode>General</c:formatCode>
                <c:ptCount val="9"/>
                <c:pt idx="0">
                  <c:v>0.0135264417540988</c:v>
                </c:pt>
                <c:pt idx="1">
                  <c:v>0.00510571919308371</c:v>
                </c:pt>
                <c:pt idx="2">
                  <c:v>0.00252738248621095</c:v>
                </c:pt>
                <c:pt idx="3">
                  <c:v>0.00215705690603187</c:v>
                </c:pt>
                <c:pt idx="4">
                  <c:v>0.00225692597630717</c:v>
                </c:pt>
                <c:pt idx="5">
                  <c:v>0.00216040929246959</c:v>
                </c:pt>
                <c:pt idx="6">
                  <c:v>0.00253324110059205</c:v>
                </c:pt>
                <c:pt idx="7">
                  <c:v>0.0051120230888298</c:v>
                </c:pt>
                <c:pt idx="8">
                  <c:v>0.0135264417575483</c:v>
                </c:pt>
              </c:numCache>
            </c:numRef>
          </c:yVal>
          <c:smooth val="1"/>
        </c:ser>
        <c:axId val="28113966"/>
        <c:axId val="882946"/>
      </c:scatterChart>
      <c:valAx>
        <c:axId val="28113966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varied_value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82946"/>
        <c:crosses val="autoZero"/>
        <c:crossBetween val="midCat"/>
      </c:valAx>
      <c:valAx>
        <c:axId val="882946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l2_error_rel (log scale)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8113966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energy_error_rel vs varied_value (Eigenvector Angle)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'Eigenvector Angle'!L1</c:f>
              <c:strCache>
                <c:ptCount val="1"/>
                <c:pt idx="0">
                  <c:v>energy_error_rel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circle"/>
            <c:size val="6"/>
            <c:spPr>
              <a:solidFill>
                <a:srgbClr val="4a7eb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'Eigenvector Angle'!$N$2:$N$10</c:f>
              <c:numCache>
                <c:formatCode>General</c:formatCode>
                <c:ptCount val="9"/>
                <c:pt idx="0">
                  <c:v>0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12</c:v>
                </c:pt>
                <c:pt idx="5">
                  <c:v>16</c:v>
                </c:pt>
                <c:pt idx="6">
                  <c:v>18</c:v>
                </c:pt>
                <c:pt idx="7">
                  <c:v>20</c:v>
                </c:pt>
                <c:pt idx="8">
                  <c:v>24</c:v>
                </c:pt>
              </c:numCache>
            </c:numRef>
          </c:xVal>
          <c:yVal>
            <c:numRef>
              <c:f>'Eigenvector Angle'!$L$2:$L$10</c:f>
              <c:numCache>
                <c:formatCode>General</c:formatCode>
                <c:ptCount val="9"/>
                <c:pt idx="0">
                  <c:v>0.000402416869858232</c:v>
                </c:pt>
                <c:pt idx="1">
                  <c:v>0.337034010919127</c:v>
                </c:pt>
                <c:pt idx="2">
                  <c:v>0.966654244228119</c:v>
                </c:pt>
                <c:pt idx="3">
                  <c:v>0.088948187495466</c:v>
                </c:pt>
                <c:pt idx="4">
                  <c:v>0.000836685217153581</c:v>
                </c:pt>
                <c:pt idx="5">
                  <c:v>0.0130663934203615</c:v>
                </c:pt>
                <c:pt idx="6">
                  <c:v>0.0144796776495729</c:v>
                </c:pt>
                <c:pt idx="7">
                  <c:v>0.145568459246401</c:v>
                </c:pt>
                <c:pt idx="8">
                  <c:v>0.000402416867983132</c:v>
                </c:pt>
              </c:numCache>
            </c:numRef>
          </c:yVal>
          <c:smooth val="1"/>
        </c:ser>
        <c:axId val="39515504"/>
        <c:axId val="79364678"/>
      </c:scatterChart>
      <c:valAx>
        <c:axId val="39515504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varied_value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9364678"/>
        <c:crosses val="autoZero"/>
        <c:crossBetween val="midCat"/>
      </c:valAx>
      <c:valAx>
        <c:axId val="79364678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energy_error_rel (log scale)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9515504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Relationship Id="rId3" Type="http://schemas.openxmlformats.org/officeDocument/2006/relationships/chart" Target="../charts/chart6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<Relationship Id="rId3" Type="http://schemas.openxmlformats.org/officeDocument/2006/relationships/chart" Target="../charts/chart9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10.xml"/><Relationship Id="rId2" Type="http://schemas.openxmlformats.org/officeDocument/2006/relationships/chart" Target="../charts/chart11.xml"/><Relationship Id="rId3" Type="http://schemas.openxmlformats.org/officeDocument/2006/relationships/chart" Target="../charts/chart12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13.xml"/><Relationship Id="rId2" Type="http://schemas.openxmlformats.org/officeDocument/2006/relationships/chart" Target="../charts/chart14.xml"/><Relationship Id="rId3" Type="http://schemas.openxmlformats.org/officeDocument/2006/relationships/chart" Target="../charts/chart15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15</xdr:col>
      <xdr:colOff>0</xdr:colOff>
      <xdr:row>1</xdr:row>
      <xdr:rowOff>0</xdr:rowOff>
    </xdr:from>
    <xdr:to>
      <xdr:col>23</xdr:col>
      <xdr:colOff>507600</xdr:colOff>
      <xdr:row>18</xdr:row>
      <xdr:rowOff>1080</xdr:rowOff>
    </xdr:to>
    <xdr:graphicFrame>
      <xdr:nvGraphicFramePr>
        <xdr:cNvPr id="0" name="Chart 1"/>
        <xdr:cNvGraphicFramePr/>
      </xdr:nvGraphicFramePr>
      <xdr:xfrm>
        <a:off x="9172440" y="190440"/>
        <a:ext cx="53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15</xdr:col>
      <xdr:colOff>0</xdr:colOff>
      <xdr:row>20</xdr:row>
      <xdr:rowOff>0</xdr:rowOff>
    </xdr:from>
    <xdr:to>
      <xdr:col>23</xdr:col>
      <xdr:colOff>507600</xdr:colOff>
      <xdr:row>37</xdr:row>
      <xdr:rowOff>1080</xdr:rowOff>
    </xdr:to>
    <xdr:graphicFrame>
      <xdr:nvGraphicFramePr>
        <xdr:cNvPr id="1" name="Chart 2"/>
        <xdr:cNvGraphicFramePr/>
      </xdr:nvGraphicFramePr>
      <xdr:xfrm>
        <a:off x="9172440" y="3809880"/>
        <a:ext cx="53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15</xdr:col>
      <xdr:colOff>0</xdr:colOff>
      <xdr:row>39</xdr:row>
      <xdr:rowOff>0</xdr:rowOff>
    </xdr:from>
    <xdr:to>
      <xdr:col>23</xdr:col>
      <xdr:colOff>507600</xdr:colOff>
      <xdr:row>56</xdr:row>
      <xdr:rowOff>1440</xdr:rowOff>
    </xdr:to>
    <xdr:graphicFrame>
      <xdr:nvGraphicFramePr>
        <xdr:cNvPr id="2" name="Chart 3"/>
        <xdr:cNvGraphicFramePr/>
      </xdr:nvGraphicFramePr>
      <xdr:xfrm>
        <a:off x="9172440" y="7429680"/>
        <a:ext cx="53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15</xdr:col>
      <xdr:colOff>0</xdr:colOff>
      <xdr:row>1</xdr:row>
      <xdr:rowOff>0</xdr:rowOff>
    </xdr:from>
    <xdr:to>
      <xdr:col>23</xdr:col>
      <xdr:colOff>507600</xdr:colOff>
      <xdr:row>18</xdr:row>
      <xdr:rowOff>1080</xdr:rowOff>
    </xdr:to>
    <xdr:graphicFrame>
      <xdr:nvGraphicFramePr>
        <xdr:cNvPr id="3" name="Chart 1"/>
        <xdr:cNvGraphicFramePr/>
      </xdr:nvGraphicFramePr>
      <xdr:xfrm>
        <a:off x="9172440" y="190440"/>
        <a:ext cx="53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15</xdr:col>
      <xdr:colOff>0</xdr:colOff>
      <xdr:row>20</xdr:row>
      <xdr:rowOff>0</xdr:rowOff>
    </xdr:from>
    <xdr:to>
      <xdr:col>23</xdr:col>
      <xdr:colOff>507600</xdr:colOff>
      <xdr:row>37</xdr:row>
      <xdr:rowOff>1080</xdr:rowOff>
    </xdr:to>
    <xdr:graphicFrame>
      <xdr:nvGraphicFramePr>
        <xdr:cNvPr id="4" name="Chart 2"/>
        <xdr:cNvGraphicFramePr/>
      </xdr:nvGraphicFramePr>
      <xdr:xfrm>
        <a:off x="9172440" y="3809880"/>
        <a:ext cx="53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15</xdr:col>
      <xdr:colOff>0</xdr:colOff>
      <xdr:row>39</xdr:row>
      <xdr:rowOff>0</xdr:rowOff>
    </xdr:from>
    <xdr:to>
      <xdr:col>23</xdr:col>
      <xdr:colOff>507600</xdr:colOff>
      <xdr:row>56</xdr:row>
      <xdr:rowOff>1440</xdr:rowOff>
    </xdr:to>
    <xdr:graphicFrame>
      <xdr:nvGraphicFramePr>
        <xdr:cNvPr id="5" name="Chart 3"/>
        <xdr:cNvGraphicFramePr/>
      </xdr:nvGraphicFramePr>
      <xdr:xfrm>
        <a:off x="9172440" y="7429680"/>
        <a:ext cx="53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15</xdr:col>
      <xdr:colOff>0</xdr:colOff>
      <xdr:row>1</xdr:row>
      <xdr:rowOff>0</xdr:rowOff>
    </xdr:from>
    <xdr:to>
      <xdr:col>23</xdr:col>
      <xdr:colOff>507600</xdr:colOff>
      <xdr:row>18</xdr:row>
      <xdr:rowOff>1080</xdr:rowOff>
    </xdr:to>
    <xdr:graphicFrame>
      <xdr:nvGraphicFramePr>
        <xdr:cNvPr id="6" name="Chart 1"/>
        <xdr:cNvGraphicFramePr/>
      </xdr:nvGraphicFramePr>
      <xdr:xfrm>
        <a:off x="9172440" y="190440"/>
        <a:ext cx="53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15</xdr:col>
      <xdr:colOff>0</xdr:colOff>
      <xdr:row>20</xdr:row>
      <xdr:rowOff>0</xdr:rowOff>
    </xdr:from>
    <xdr:to>
      <xdr:col>23</xdr:col>
      <xdr:colOff>507600</xdr:colOff>
      <xdr:row>37</xdr:row>
      <xdr:rowOff>1080</xdr:rowOff>
    </xdr:to>
    <xdr:graphicFrame>
      <xdr:nvGraphicFramePr>
        <xdr:cNvPr id="7" name="Chart 2"/>
        <xdr:cNvGraphicFramePr/>
      </xdr:nvGraphicFramePr>
      <xdr:xfrm>
        <a:off x="9172440" y="3809880"/>
        <a:ext cx="53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15</xdr:col>
      <xdr:colOff>0</xdr:colOff>
      <xdr:row>39</xdr:row>
      <xdr:rowOff>0</xdr:rowOff>
    </xdr:from>
    <xdr:to>
      <xdr:col>23</xdr:col>
      <xdr:colOff>507600</xdr:colOff>
      <xdr:row>56</xdr:row>
      <xdr:rowOff>1440</xdr:rowOff>
    </xdr:to>
    <xdr:graphicFrame>
      <xdr:nvGraphicFramePr>
        <xdr:cNvPr id="8" name="Chart 3"/>
        <xdr:cNvGraphicFramePr/>
      </xdr:nvGraphicFramePr>
      <xdr:xfrm>
        <a:off x="9172440" y="7429680"/>
        <a:ext cx="53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15</xdr:col>
      <xdr:colOff>0</xdr:colOff>
      <xdr:row>1</xdr:row>
      <xdr:rowOff>0</xdr:rowOff>
    </xdr:from>
    <xdr:to>
      <xdr:col>23</xdr:col>
      <xdr:colOff>507600</xdr:colOff>
      <xdr:row>18</xdr:row>
      <xdr:rowOff>1080</xdr:rowOff>
    </xdr:to>
    <xdr:graphicFrame>
      <xdr:nvGraphicFramePr>
        <xdr:cNvPr id="9" name="Chart 1"/>
        <xdr:cNvGraphicFramePr/>
      </xdr:nvGraphicFramePr>
      <xdr:xfrm>
        <a:off x="9172440" y="190440"/>
        <a:ext cx="53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15</xdr:col>
      <xdr:colOff>0</xdr:colOff>
      <xdr:row>20</xdr:row>
      <xdr:rowOff>0</xdr:rowOff>
    </xdr:from>
    <xdr:to>
      <xdr:col>23</xdr:col>
      <xdr:colOff>507600</xdr:colOff>
      <xdr:row>37</xdr:row>
      <xdr:rowOff>1080</xdr:rowOff>
    </xdr:to>
    <xdr:graphicFrame>
      <xdr:nvGraphicFramePr>
        <xdr:cNvPr id="10" name="Chart 2"/>
        <xdr:cNvGraphicFramePr/>
      </xdr:nvGraphicFramePr>
      <xdr:xfrm>
        <a:off x="9172440" y="3809880"/>
        <a:ext cx="53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15</xdr:col>
      <xdr:colOff>0</xdr:colOff>
      <xdr:row>39</xdr:row>
      <xdr:rowOff>0</xdr:rowOff>
    </xdr:from>
    <xdr:to>
      <xdr:col>23</xdr:col>
      <xdr:colOff>507600</xdr:colOff>
      <xdr:row>56</xdr:row>
      <xdr:rowOff>1440</xdr:rowOff>
    </xdr:to>
    <xdr:graphicFrame>
      <xdr:nvGraphicFramePr>
        <xdr:cNvPr id="11" name="Chart 3"/>
        <xdr:cNvGraphicFramePr/>
      </xdr:nvGraphicFramePr>
      <xdr:xfrm>
        <a:off x="9172440" y="7429680"/>
        <a:ext cx="53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15</xdr:col>
      <xdr:colOff>0</xdr:colOff>
      <xdr:row>1</xdr:row>
      <xdr:rowOff>0</xdr:rowOff>
    </xdr:from>
    <xdr:to>
      <xdr:col>23</xdr:col>
      <xdr:colOff>507600</xdr:colOff>
      <xdr:row>18</xdr:row>
      <xdr:rowOff>1080</xdr:rowOff>
    </xdr:to>
    <xdr:graphicFrame>
      <xdr:nvGraphicFramePr>
        <xdr:cNvPr id="12" name="Chart 1"/>
        <xdr:cNvGraphicFramePr/>
      </xdr:nvGraphicFramePr>
      <xdr:xfrm>
        <a:off x="9172440" y="190440"/>
        <a:ext cx="53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15</xdr:col>
      <xdr:colOff>0</xdr:colOff>
      <xdr:row>20</xdr:row>
      <xdr:rowOff>0</xdr:rowOff>
    </xdr:from>
    <xdr:to>
      <xdr:col>23</xdr:col>
      <xdr:colOff>507600</xdr:colOff>
      <xdr:row>37</xdr:row>
      <xdr:rowOff>1080</xdr:rowOff>
    </xdr:to>
    <xdr:graphicFrame>
      <xdr:nvGraphicFramePr>
        <xdr:cNvPr id="13" name="Chart 2"/>
        <xdr:cNvGraphicFramePr/>
      </xdr:nvGraphicFramePr>
      <xdr:xfrm>
        <a:off x="9172440" y="3809880"/>
        <a:ext cx="53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15</xdr:col>
      <xdr:colOff>0</xdr:colOff>
      <xdr:row>39</xdr:row>
      <xdr:rowOff>0</xdr:rowOff>
    </xdr:from>
    <xdr:to>
      <xdr:col>23</xdr:col>
      <xdr:colOff>507600</xdr:colOff>
      <xdr:row>56</xdr:row>
      <xdr:rowOff>1440</xdr:rowOff>
    </xdr:to>
    <xdr:graphicFrame>
      <xdr:nvGraphicFramePr>
        <xdr:cNvPr id="14" name="Chart 3"/>
        <xdr:cNvGraphicFramePr/>
      </xdr:nvGraphicFramePr>
      <xdr:xfrm>
        <a:off x="9172440" y="7429680"/>
        <a:ext cx="53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 customFormat="false" ht="15" hidden="false" customHeight="false" outlineLevel="0" collapsed="false">
      <c r="A2" s="0" t="n">
        <v>20</v>
      </c>
      <c r="B2" s="0" t="n">
        <v>20</v>
      </c>
      <c r="C2" s="0" t="n">
        <v>100</v>
      </c>
      <c r="D2" s="0" t="n">
        <v>10</v>
      </c>
      <c r="E2" s="0" t="n">
        <v>1</v>
      </c>
      <c r="F2" s="0" t="n">
        <v>0.005</v>
      </c>
      <c r="G2" s="0" t="n">
        <v>12</v>
      </c>
      <c r="H2" s="1" t="b">
        <f aca="false">TRUE()</f>
        <v>1</v>
      </c>
      <c r="I2" s="1" t="b">
        <f aca="false">TRUE()</f>
        <v>1</v>
      </c>
      <c r="J2" s="0" t="n">
        <v>0.0281985436181458</v>
      </c>
      <c r="K2" s="0" t="n">
        <v>0.00467641637318694</v>
      </c>
      <c r="L2" s="0" t="n">
        <v>0.011434364734443</v>
      </c>
      <c r="M2" s="0" t="s">
        <v>14</v>
      </c>
      <c r="N2" s="0" t="n">
        <v>20</v>
      </c>
    </row>
    <row r="3" customFormat="false" ht="15" hidden="false" customHeight="false" outlineLevel="0" collapsed="false">
      <c r="A3" s="0" t="n">
        <v>30</v>
      </c>
      <c r="B3" s="0" t="n">
        <v>30</v>
      </c>
      <c r="C3" s="0" t="n">
        <v>100</v>
      </c>
      <c r="D3" s="0" t="n">
        <v>10</v>
      </c>
      <c r="E3" s="0" t="n">
        <v>1</v>
      </c>
      <c r="F3" s="0" t="n">
        <v>0.005</v>
      </c>
      <c r="G3" s="0" t="n">
        <v>12</v>
      </c>
      <c r="H3" s="1" t="b">
        <f aca="false">TRUE()</f>
        <v>1</v>
      </c>
      <c r="I3" s="1" t="b">
        <f aca="false">TRUE()</f>
        <v>1</v>
      </c>
      <c r="J3" s="0" t="n">
        <v>0.0200446435240451</v>
      </c>
      <c r="K3" s="0" t="n">
        <v>0.00368778710340658</v>
      </c>
      <c r="L3" s="0" t="n">
        <v>0.0148164215866484</v>
      </c>
      <c r="M3" s="0" t="s">
        <v>14</v>
      </c>
      <c r="N3" s="0" t="n">
        <v>30</v>
      </c>
    </row>
    <row r="4" customFormat="false" ht="15" hidden="false" customHeight="false" outlineLevel="0" collapsed="false">
      <c r="A4" s="0" t="n">
        <v>50</v>
      </c>
      <c r="B4" s="0" t="n">
        <v>50</v>
      </c>
      <c r="C4" s="0" t="n">
        <v>100</v>
      </c>
      <c r="D4" s="0" t="n">
        <v>10</v>
      </c>
      <c r="E4" s="0" t="n">
        <v>1</v>
      </c>
      <c r="F4" s="0" t="n">
        <v>0.005</v>
      </c>
      <c r="G4" s="0" t="n">
        <v>12</v>
      </c>
      <c r="H4" s="1" t="b">
        <f aca="false">TRUE()</f>
        <v>1</v>
      </c>
      <c r="I4" s="1" t="b">
        <f aca="false">TRUE()</f>
        <v>1</v>
      </c>
      <c r="J4" s="0" t="n">
        <v>0.0121525263546687</v>
      </c>
      <c r="K4" s="0" t="n">
        <v>0.00260669132211047</v>
      </c>
      <c r="L4" s="0" t="n">
        <v>0.00124279727959651</v>
      </c>
      <c r="M4" s="0" t="s">
        <v>14</v>
      </c>
      <c r="N4" s="0" t="n">
        <v>50</v>
      </c>
    </row>
    <row r="5" customFormat="false" ht="15" hidden="false" customHeight="false" outlineLevel="0" collapsed="false">
      <c r="A5" s="0" t="n">
        <v>75</v>
      </c>
      <c r="B5" s="0" t="n">
        <v>75</v>
      </c>
      <c r="C5" s="0" t="n">
        <v>100</v>
      </c>
      <c r="D5" s="0" t="n">
        <v>10</v>
      </c>
      <c r="E5" s="0" t="n">
        <v>1</v>
      </c>
      <c r="F5" s="0" t="n">
        <v>0.005</v>
      </c>
      <c r="G5" s="0" t="n">
        <v>12</v>
      </c>
      <c r="H5" s="1" t="b">
        <f aca="false">TRUE()</f>
        <v>1</v>
      </c>
      <c r="I5" s="1" t="b">
        <f aca="false">TRUE()</f>
        <v>1</v>
      </c>
      <c r="J5" s="0" t="n">
        <v>0.0154745328979971</v>
      </c>
      <c r="K5" s="0" t="n">
        <v>0.00274171335801953</v>
      </c>
      <c r="L5" s="0" t="n">
        <v>0.0022858163269339</v>
      </c>
      <c r="M5" s="0" t="s">
        <v>14</v>
      </c>
      <c r="N5" s="0" t="n">
        <v>75</v>
      </c>
    </row>
    <row r="6" customFormat="false" ht="15" hidden="false" customHeight="false" outlineLevel="0" collapsed="false">
      <c r="A6" s="0" t="n">
        <v>100</v>
      </c>
      <c r="B6" s="0" t="n">
        <v>100</v>
      </c>
      <c r="C6" s="0" t="n">
        <v>100</v>
      </c>
      <c r="D6" s="0" t="n">
        <v>10</v>
      </c>
      <c r="E6" s="0" t="n">
        <v>1</v>
      </c>
      <c r="F6" s="0" t="n">
        <v>0.005</v>
      </c>
      <c r="G6" s="0" t="n">
        <v>12</v>
      </c>
      <c r="H6" s="1" t="b">
        <f aca="false">TRUE()</f>
        <v>1</v>
      </c>
      <c r="I6" s="1" t="b">
        <f aca="false">TRUE()</f>
        <v>1</v>
      </c>
      <c r="J6" s="0" t="n">
        <v>0.0137478367573181</v>
      </c>
      <c r="K6" s="0" t="n">
        <v>0.00225692597630717</v>
      </c>
      <c r="L6" s="0" t="n">
        <v>0.000836685217153581</v>
      </c>
      <c r="M6" s="0" t="s">
        <v>14</v>
      </c>
      <c r="N6" s="0" t="n">
        <v>100</v>
      </c>
    </row>
    <row r="7" customFormat="false" ht="15" hidden="false" customHeight="false" outlineLevel="0" collapsed="false">
      <c r="A7" s="0" t="n">
        <v>125</v>
      </c>
      <c r="B7" s="0" t="n">
        <v>125</v>
      </c>
      <c r="C7" s="0" t="n">
        <v>100</v>
      </c>
      <c r="D7" s="0" t="n">
        <v>10</v>
      </c>
      <c r="E7" s="0" t="n">
        <v>1</v>
      </c>
      <c r="F7" s="0" t="n">
        <v>0.005</v>
      </c>
      <c r="G7" s="0" t="n">
        <v>12</v>
      </c>
      <c r="H7" s="1" t="b">
        <f aca="false">TRUE()</f>
        <v>1</v>
      </c>
      <c r="I7" s="1" t="b">
        <f aca="false">TRUE()</f>
        <v>1</v>
      </c>
      <c r="J7" s="0" t="n">
        <v>0.0156955401999994</v>
      </c>
      <c r="K7" s="0" t="n">
        <v>0.00193875485883978</v>
      </c>
      <c r="L7" s="0" t="n">
        <v>0.000934862781837788</v>
      </c>
      <c r="M7" s="0" t="s">
        <v>14</v>
      </c>
      <c r="N7" s="0" t="n">
        <v>125</v>
      </c>
    </row>
    <row r="8" customFormat="false" ht="15" hidden="false" customHeight="false" outlineLevel="0" collapsed="false">
      <c r="A8" s="0" t="n">
        <v>150</v>
      </c>
      <c r="B8" s="0" t="n">
        <v>150</v>
      </c>
      <c r="C8" s="0" t="n">
        <v>100</v>
      </c>
      <c r="D8" s="0" t="n">
        <v>10</v>
      </c>
      <c r="E8" s="0" t="n">
        <v>1</v>
      </c>
      <c r="F8" s="0" t="n">
        <v>0.005</v>
      </c>
      <c r="G8" s="0" t="n">
        <v>12</v>
      </c>
      <c r="H8" s="1" t="b">
        <f aca="false">TRUE()</f>
        <v>1</v>
      </c>
      <c r="I8" s="1" t="b">
        <f aca="false">TRUE()</f>
        <v>1</v>
      </c>
      <c r="J8" s="0" t="n">
        <v>0.01118900796601</v>
      </c>
      <c r="K8" s="0" t="n">
        <v>0.00181636349833396</v>
      </c>
      <c r="L8" s="0" t="n">
        <v>0.00102481453974662</v>
      </c>
      <c r="M8" s="0" t="s">
        <v>14</v>
      </c>
      <c r="N8" s="0" t="n">
        <v>150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 customFormat="false" ht="15" hidden="false" customHeight="false" outlineLevel="0" collapsed="false">
      <c r="A2" s="0" t="n">
        <v>100</v>
      </c>
      <c r="B2" s="0" t="n">
        <v>100</v>
      </c>
      <c r="C2" s="0" t="n">
        <v>15</v>
      </c>
      <c r="D2" s="0" t="n">
        <v>10</v>
      </c>
      <c r="E2" s="0" t="n">
        <v>1</v>
      </c>
      <c r="F2" s="0" t="n">
        <v>0.005</v>
      </c>
      <c r="G2" s="0" t="n">
        <v>12</v>
      </c>
      <c r="H2" s="1" t="b">
        <f aca="false">TRUE()</f>
        <v>1</v>
      </c>
      <c r="I2" s="1" t="b">
        <f aca="false">TRUE()</f>
        <v>1</v>
      </c>
      <c r="J2" s="0" t="n">
        <v>0.0461468374564902</v>
      </c>
      <c r="K2" s="0" t="n">
        <v>0.039658183336865</v>
      </c>
      <c r="L2" s="0" t="n">
        <v>0.0410421429453453</v>
      </c>
      <c r="M2" s="0" t="s">
        <v>2</v>
      </c>
      <c r="N2" s="0" t="n">
        <v>15</v>
      </c>
    </row>
    <row r="3" customFormat="false" ht="15" hidden="false" customHeight="false" outlineLevel="0" collapsed="false">
      <c r="A3" s="0" t="n">
        <v>100</v>
      </c>
      <c r="B3" s="0" t="n">
        <v>100</v>
      </c>
      <c r="C3" s="0" t="n">
        <v>25</v>
      </c>
      <c r="D3" s="0" t="n">
        <v>10</v>
      </c>
      <c r="E3" s="0" t="n">
        <v>1</v>
      </c>
      <c r="F3" s="0" t="n">
        <v>0.005</v>
      </c>
      <c r="G3" s="0" t="n">
        <v>12</v>
      </c>
      <c r="H3" s="1" t="b">
        <f aca="false">TRUE()</f>
        <v>1</v>
      </c>
      <c r="I3" s="1" t="b">
        <f aca="false">TRUE()</f>
        <v>1</v>
      </c>
      <c r="J3" s="0" t="n">
        <v>0.0142065204254891</v>
      </c>
      <c r="K3" s="0" t="n">
        <v>0.0136568320688954</v>
      </c>
      <c r="L3" s="0" t="n">
        <v>0.0137310010469214</v>
      </c>
      <c r="M3" s="0" t="s">
        <v>2</v>
      </c>
      <c r="N3" s="0" t="n">
        <v>25</v>
      </c>
    </row>
    <row r="4" customFormat="false" ht="15" hidden="false" customHeight="false" outlineLevel="0" collapsed="false">
      <c r="A4" s="0" t="n">
        <v>100</v>
      </c>
      <c r="B4" s="0" t="n">
        <v>100</v>
      </c>
      <c r="C4" s="0" t="n">
        <v>40</v>
      </c>
      <c r="D4" s="0" t="n">
        <v>10</v>
      </c>
      <c r="E4" s="0" t="n">
        <v>1</v>
      </c>
      <c r="F4" s="0" t="n">
        <v>0.005</v>
      </c>
      <c r="G4" s="0" t="n">
        <v>12</v>
      </c>
      <c r="H4" s="1" t="b">
        <f aca="false">TRUE()</f>
        <v>1</v>
      </c>
      <c r="I4" s="1" t="b">
        <f aca="false">TRUE()</f>
        <v>1</v>
      </c>
      <c r="J4" s="0" t="n">
        <v>0.0108560193372114</v>
      </c>
      <c r="K4" s="0" t="n">
        <v>0.00701789892861885</v>
      </c>
      <c r="L4" s="0" t="n">
        <v>0.026653436573671</v>
      </c>
      <c r="M4" s="0" t="s">
        <v>2</v>
      </c>
      <c r="N4" s="0" t="n">
        <v>40</v>
      </c>
    </row>
    <row r="5" customFormat="false" ht="15" hidden="false" customHeight="false" outlineLevel="0" collapsed="false">
      <c r="A5" s="0" t="n">
        <v>100</v>
      </c>
      <c r="B5" s="0" t="n">
        <v>100</v>
      </c>
      <c r="C5" s="0" t="n">
        <v>50</v>
      </c>
      <c r="D5" s="0" t="n">
        <v>10</v>
      </c>
      <c r="E5" s="0" t="n">
        <v>1</v>
      </c>
      <c r="F5" s="0" t="n">
        <v>0.005</v>
      </c>
      <c r="G5" s="0" t="n">
        <v>12</v>
      </c>
      <c r="H5" s="1" t="b">
        <f aca="false">TRUE()</f>
        <v>1</v>
      </c>
      <c r="I5" s="1" t="b">
        <f aca="false">TRUE()</f>
        <v>1</v>
      </c>
      <c r="J5" s="0" t="n">
        <v>0.012677433539622</v>
      </c>
      <c r="K5" s="0" t="n">
        <v>0.00991300813327295</v>
      </c>
      <c r="L5" s="0" t="n">
        <v>0.00973839167383124</v>
      </c>
      <c r="M5" s="0" t="s">
        <v>2</v>
      </c>
      <c r="N5" s="0" t="n">
        <v>50</v>
      </c>
    </row>
    <row r="6" customFormat="false" ht="15" hidden="false" customHeight="false" outlineLevel="0" collapsed="false">
      <c r="A6" s="0" t="n">
        <v>100</v>
      </c>
      <c r="B6" s="0" t="n">
        <v>100</v>
      </c>
      <c r="C6" s="0" t="n">
        <v>65</v>
      </c>
      <c r="D6" s="0" t="n">
        <v>10</v>
      </c>
      <c r="E6" s="0" t="n">
        <v>1</v>
      </c>
      <c r="F6" s="0" t="n">
        <v>0.005</v>
      </c>
      <c r="G6" s="0" t="n">
        <v>12</v>
      </c>
      <c r="H6" s="1" t="b">
        <f aca="false">TRUE()</f>
        <v>1</v>
      </c>
      <c r="I6" s="1" t="b">
        <f aca="false">TRUE()</f>
        <v>1</v>
      </c>
      <c r="J6" s="0" t="n">
        <v>0.0200606832845551</v>
      </c>
      <c r="K6" s="0" t="n">
        <v>0.00446173570692979</v>
      </c>
      <c r="L6" s="0" t="n">
        <v>0.00441000852109681</v>
      </c>
      <c r="M6" s="0" t="s">
        <v>2</v>
      </c>
      <c r="N6" s="0" t="n">
        <v>65</v>
      </c>
    </row>
    <row r="7" customFormat="false" ht="15" hidden="false" customHeight="false" outlineLevel="0" collapsed="false">
      <c r="A7" s="0" t="n">
        <v>100</v>
      </c>
      <c r="B7" s="0" t="n">
        <v>100</v>
      </c>
      <c r="C7" s="0" t="n">
        <v>75</v>
      </c>
      <c r="D7" s="0" t="n">
        <v>10</v>
      </c>
      <c r="E7" s="0" t="n">
        <v>1</v>
      </c>
      <c r="F7" s="0" t="n">
        <v>0.005</v>
      </c>
      <c r="G7" s="0" t="n">
        <v>12</v>
      </c>
      <c r="H7" s="1" t="b">
        <f aca="false">TRUE()</f>
        <v>1</v>
      </c>
      <c r="I7" s="1" t="b">
        <f aca="false">TRUE()</f>
        <v>1</v>
      </c>
      <c r="J7" s="0" t="n">
        <v>0.01541481617312</v>
      </c>
      <c r="K7" s="0" t="n">
        <v>0.00353540109168083</v>
      </c>
      <c r="L7" s="0" t="n">
        <v>0.00159174908210612</v>
      </c>
      <c r="M7" s="0" t="s">
        <v>2</v>
      </c>
      <c r="N7" s="0" t="n">
        <v>75</v>
      </c>
    </row>
    <row r="8" customFormat="false" ht="15" hidden="false" customHeight="false" outlineLevel="0" collapsed="false">
      <c r="A8" s="0" t="n">
        <v>100</v>
      </c>
      <c r="B8" s="0" t="n">
        <v>100</v>
      </c>
      <c r="C8" s="0" t="n">
        <v>85</v>
      </c>
      <c r="D8" s="0" t="n">
        <v>10</v>
      </c>
      <c r="E8" s="0" t="n">
        <v>1</v>
      </c>
      <c r="F8" s="0" t="n">
        <v>0.005</v>
      </c>
      <c r="G8" s="0" t="n">
        <v>12</v>
      </c>
      <c r="H8" s="1" t="b">
        <f aca="false">TRUE()</f>
        <v>1</v>
      </c>
      <c r="I8" s="1" t="b">
        <f aca="false">TRUE()</f>
        <v>1</v>
      </c>
      <c r="J8" s="0" t="n">
        <v>0.0119749231024571</v>
      </c>
      <c r="K8" s="0" t="n">
        <v>0.00508813381647334</v>
      </c>
      <c r="L8" s="0" t="n">
        <v>0.00444916831941672</v>
      </c>
      <c r="M8" s="0" t="s">
        <v>2</v>
      </c>
      <c r="N8" s="0" t="n">
        <v>85</v>
      </c>
    </row>
    <row r="9" customFormat="false" ht="15" hidden="false" customHeight="false" outlineLevel="0" collapsed="false">
      <c r="A9" s="0" t="n">
        <v>100</v>
      </c>
      <c r="B9" s="0" t="n">
        <v>100</v>
      </c>
      <c r="C9" s="0" t="n">
        <v>100</v>
      </c>
      <c r="D9" s="0" t="n">
        <v>10</v>
      </c>
      <c r="E9" s="0" t="n">
        <v>1</v>
      </c>
      <c r="F9" s="0" t="n">
        <v>0.005</v>
      </c>
      <c r="G9" s="0" t="n">
        <v>12</v>
      </c>
      <c r="H9" s="1" t="b">
        <f aca="false">TRUE()</f>
        <v>1</v>
      </c>
      <c r="I9" s="1" t="b">
        <f aca="false">TRUE()</f>
        <v>1</v>
      </c>
      <c r="J9" s="0" t="n">
        <v>0.0137478367573181</v>
      </c>
      <c r="K9" s="0" t="n">
        <v>0.00225692597630717</v>
      </c>
      <c r="L9" s="0" t="n">
        <v>0.000836685217153581</v>
      </c>
      <c r="M9" s="0" t="s">
        <v>2</v>
      </c>
      <c r="N9" s="0" t="n">
        <v>100</v>
      </c>
    </row>
    <row r="10" customFormat="false" ht="15" hidden="false" customHeight="false" outlineLevel="0" collapsed="false">
      <c r="A10" s="0" t="n">
        <v>100</v>
      </c>
      <c r="B10" s="0" t="n">
        <v>100</v>
      </c>
      <c r="C10" s="0" t="n">
        <v>115</v>
      </c>
      <c r="D10" s="0" t="n">
        <v>10</v>
      </c>
      <c r="E10" s="0" t="n">
        <v>1</v>
      </c>
      <c r="F10" s="0" t="n">
        <v>0.005</v>
      </c>
      <c r="G10" s="0" t="n">
        <v>12</v>
      </c>
      <c r="H10" s="1" t="b">
        <f aca="false">TRUE()</f>
        <v>1</v>
      </c>
      <c r="I10" s="1" t="b">
        <f aca="false">TRUE()</f>
        <v>1</v>
      </c>
      <c r="J10" s="0" t="n">
        <v>0.0119857039760802</v>
      </c>
      <c r="K10" s="0" t="n">
        <v>0.00329206984309375</v>
      </c>
      <c r="L10" s="0" t="n">
        <v>0.00328340323738631</v>
      </c>
      <c r="M10" s="0" t="s">
        <v>2</v>
      </c>
      <c r="N10" s="0" t="n">
        <v>115</v>
      </c>
    </row>
    <row r="11" customFormat="false" ht="15" hidden="false" customHeight="false" outlineLevel="0" collapsed="false">
      <c r="A11" s="0" t="n">
        <v>100</v>
      </c>
      <c r="B11" s="0" t="n">
        <v>100</v>
      </c>
      <c r="C11" s="0" t="n">
        <v>130</v>
      </c>
      <c r="D11" s="0" t="n">
        <v>10</v>
      </c>
      <c r="E11" s="0" t="n">
        <v>1</v>
      </c>
      <c r="F11" s="0" t="n">
        <v>0.005</v>
      </c>
      <c r="G11" s="0" t="n">
        <v>12</v>
      </c>
      <c r="H11" s="1" t="b">
        <f aca="false">TRUE()</f>
        <v>1</v>
      </c>
      <c r="I11" s="1" t="b">
        <f aca="false">TRUE()</f>
        <v>1</v>
      </c>
      <c r="J11" s="0" t="n">
        <v>0.0142717665887915</v>
      </c>
      <c r="K11" s="0" t="n">
        <v>0.00193090537601797</v>
      </c>
      <c r="L11" s="0" t="n">
        <v>0.00193842907462706</v>
      </c>
      <c r="M11" s="0" t="s">
        <v>2</v>
      </c>
      <c r="N11" s="0" t="n">
        <v>130</v>
      </c>
    </row>
    <row r="12" customFormat="false" ht="15" hidden="false" customHeight="false" outlineLevel="0" collapsed="false">
      <c r="A12" s="0" t="n">
        <v>100</v>
      </c>
      <c r="B12" s="0" t="n">
        <v>100</v>
      </c>
      <c r="C12" s="0" t="n">
        <v>150</v>
      </c>
      <c r="D12" s="0" t="n">
        <v>10</v>
      </c>
      <c r="E12" s="0" t="n">
        <v>1</v>
      </c>
      <c r="F12" s="0" t="n">
        <v>0.005</v>
      </c>
      <c r="G12" s="0" t="n">
        <v>12</v>
      </c>
      <c r="H12" s="1" t="b">
        <f aca="false">TRUE()</f>
        <v>1</v>
      </c>
      <c r="I12" s="1" t="b">
        <f aca="false">TRUE()</f>
        <v>1</v>
      </c>
      <c r="J12" s="0" t="n">
        <v>0.0211684559898231</v>
      </c>
      <c r="K12" s="0" t="n">
        <v>0.0024068563109565</v>
      </c>
      <c r="L12" s="0" t="n">
        <v>0.00240854784708327</v>
      </c>
      <c r="M12" s="0" t="s">
        <v>2</v>
      </c>
      <c r="N12" s="0" t="n">
        <v>150</v>
      </c>
    </row>
    <row r="13" customFormat="false" ht="15" hidden="false" customHeight="false" outlineLevel="0" collapsed="false">
      <c r="A13" s="0" t="n">
        <v>100</v>
      </c>
      <c r="B13" s="0" t="n">
        <v>100</v>
      </c>
      <c r="C13" s="0" t="n">
        <v>200</v>
      </c>
      <c r="D13" s="0" t="n">
        <v>10</v>
      </c>
      <c r="E13" s="0" t="n">
        <v>1</v>
      </c>
      <c r="F13" s="0" t="n">
        <v>0.005</v>
      </c>
      <c r="G13" s="0" t="n">
        <v>12</v>
      </c>
      <c r="H13" s="1" t="b">
        <f aca="false">TRUE()</f>
        <v>1</v>
      </c>
      <c r="I13" s="1" t="b">
        <f aca="false">TRUE()</f>
        <v>1</v>
      </c>
      <c r="J13" s="0" t="n">
        <v>0.0142891105300009</v>
      </c>
      <c r="K13" s="0" t="n">
        <v>0.00205110208659674</v>
      </c>
      <c r="L13" s="0" t="n">
        <v>66.961493388455</v>
      </c>
      <c r="M13" s="0" t="s">
        <v>2</v>
      </c>
      <c r="N13" s="0" t="n">
        <v>200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 customFormat="false" ht="15" hidden="false" customHeight="false" outlineLevel="0" collapsed="false">
      <c r="A2" s="0" t="n">
        <v>100</v>
      </c>
      <c r="B2" s="0" t="n">
        <v>100</v>
      </c>
      <c r="C2" s="0" t="n">
        <v>100</v>
      </c>
      <c r="D2" s="0" t="n">
        <v>5</v>
      </c>
      <c r="E2" s="0" t="n">
        <v>1</v>
      </c>
      <c r="F2" s="0" t="n">
        <v>0.005</v>
      </c>
      <c r="G2" s="0" t="n">
        <v>12</v>
      </c>
      <c r="H2" s="1" t="b">
        <f aca="false">TRUE()</f>
        <v>1</v>
      </c>
      <c r="I2" s="1" t="b">
        <f aca="false">TRUE()</f>
        <v>1</v>
      </c>
      <c r="J2" s="0" t="n">
        <v>0.244127561450341</v>
      </c>
      <c r="K2" s="0" t="n">
        <v>0.0180439092396577</v>
      </c>
      <c r="L2" s="0" t="n">
        <v>3318.57370370642</v>
      </c>
      <c r="M2" s="0" t="s">
        <v>3</v>
      </c>
      <c r="N2" s="0" t="n">
        <v>5</v>
      </c>
    </row>
    <row r="3" customFormat="false" ht="15" hidden="false" customHeight="false" outlineLevel="0" collapsed="false">
      <c r="A3" s="0" t="n">
        <v>100</v>
      </c>
      <c r="B3" s="0" t="n">
        <v>100</v>
      </c>
      <c r="C3" s="0" t="n">
        <v>100</v>
      </c>
      <c r="D3" s="0" t="n">
        <v>6</v>
      </c>
      <c r="E3" s="0" t="n">
        <v>1</v>
      </c>
      <c r="F3" s="0" t="n">
        <v>0.005</v>
      </c>
      <c r="G3" s="0" t="n">
        <v>12</v>
      </c>
      <c r="H3" s="1" t="b">
        <f aca="false">TRUE()</f>
        <v>1</v>
      </c>
      <c r="I3" s="1" t="b">
        <f aca="false">TRUE()</f>
        <v>1</v>
      </c>
      <c r="J3" s="0" t="n">
        <v>0.223352329941918</v>
      </c>
      <c r="K3" s="0" t="n">
        <v>0.00719239892170844</v>
      </c>
      <c r="L3" s="0" t="n">
        <v>0.0478534824250995</v>
      </c>
      <c r="M3" s="0" t="s">
        <v>3</v>
      </c>
      <c r="N3" s="0" t="n">
        <v>6</v>
      </c>
    </row>
    <row r="4" customFormat="false" ht="15" hidden="false" customHeight="false" outlineLevel="0" collapsed="false">
      <c r="A4" s="0" t="n">
        <v>100</v>
      </c>
      <c r="B4" s="0" t="n">
        <v>100</v>
      </c>
      <c r="C4" s="0" t="n">
        <v>100</v>
      </c>
      <c r="D4" s="0" t="n">
        <v>7</v>
      </c>
      <c r="E4" s="0" t="n">
        <v>1</v>
      </c>
      <c r="F4" s="0" t="n">
        <v>0.005</v>
      </c>
      <c r="G4" s="0" t="n">
        <v>12</v>
      </c>
      <c r="H4" s="1" t="b">
        <f aca="false">TRUE()</f>
        <v>1</v>
      </c>
      <c r="I4" s="1" t="b">
        <f aca="false">TRUE()</f>
        <v>1</v>
      </c>
      <c r="J4" s="0" t="n">
        <v>1.81500703653177</v>
      </c>
      <c r="K4" s="0" t="n">
        <v>0.0330753581374234</v>
      </c>
      <c r="L4" s="0" t="n">
        <v>9.44300796294033</v>
      </c>
      <c r="M4" s="0" t="s">
        <v>3</v>
      </c>
      <c r="N4" s="0" t="n">
        <v>7</v>
      </c>
    </row>
    <row r="5" customFormat="false" ht="15" hidden="false" customHeight="false" outlineLevel="0" collapsed="false">
      <c r="A5" s="0" t="n">
        <v>100</v>
      </c>
      <c r="B5" s="0" t="n">
        <v>100</v>
      </c>
      <c r="C5" s="0" t="n">
        <v>100</v>
      </c>
      <c r="D5" s="0" t="n">
        <v>8</v>
      </c>
      <c r="E5" s="0" t="n">
        <v>1</v>
      </c>
      <c r="F5" s="0" t="n">
        <v>0.005</v>
      </c>
      <c r="G5" s="0" t="n">
        <v>12</v>
      </c>
      <c r="H5" s="1" t="b">
        <f aca="false">TRUE()</f>
        <v>1</v>
      </c>
      <c r="I5" s="1" t="b">
        <f aca="false">TRUE()</f>
        <v>1</v>
      </c>
      <c r="J5" s="0" t="n">
        <v>0.0207999535309043</v>
      </c>
      <c r="K5" s="0" t="n">
        <v>0.00257237964899982</v>
      </c>
      <c r="L5" s="0" t="n">
        <v>0.00118010553875164</v>
      </c>
      <c r="M5" s="0" t="s">
        <v>3</v>
      </c>
      <c r="N5" s="0" t="n">
        <v>8</v>
      </c>
    </row>
    <row r="6" customFormat="false" ht="15" hidden="false" customHeight="false" outlineLevel="0" collapsed="false">
      <c r="A6" s="0" t="n">
        <v>100</v>
      </c>
      <c r="B6" s="0" t="n">
        <v>100</v>
      </c>
      <c r="C6" s="0" t="n">
        <v>100</v>
      </c>
      <c r="D6" s="0" t="n">
        <v>9</v>
      </c>
      <c r="E6" s="0" t="n">
        <v>1</v>
      </c>
      <c r="F6" s="0" t="n">
        <v>0.005</v>
      </c>
      <c r="G6" s="0" t="n">
        <v>12</v>
      </c>
      <c r="H6" s="1" t="b">
        <f aca="false">TRUE()</f>
        <v>1</v>
      </c>
      <c r="I6" s="1" t="b">
        <f aca="false">TRUE()</f>
        <v>1</v>
      </c>
      <c r="J6" s="0" t="n">
        <v>0.0137473974714908</v>
      </c>
      <c r="K6" s="0" t="n">
        <v>0.00231686441845232</v>
      </c>
      <c r="L6" s="0" t="n">
        <v>0.000900790581753096</v>
      </c>
      <c r="M6" s="0" t="s">
        <v>3</v>
      </c>
      <c r="N6" s="0" t="n">
        <v>9</v>
      </c>
    </row>
    <row r="7" customFormat="false" ht="15" hidden="false" customHeight="false" outlineLevel="0" collapsed="false">
      <c r="A7" s="0" t="n">
        <v>100</v>
      </c>
      <c r="B7" s="0" t="n">
        <v>100</v>
      </c>
      <c r="C7" s="0" t="n">
        <v>100</v>
      </c>
      <c r="D7" s="0" t="n">
        <v>10</v>
      </c>
      <c r="E7" s="0" t="n">
        <v>1</v>
      </c>
      <c r="F7" s="0" t="n">
        <v>0.005</v>
      </c>
      <c r="G7" s="0" t="n">
        <v>12</v>
      </c>
      <c r="H7" s="1" t="b">
        <f aca="false">TRUE()</f>
        <v>1</v>
      </c>
      <c r="I7" s="1" t="b">
        <f aca="false">TRUE()</f>
        <v>1</v>
      </c>
      <c r="J7" s="0" t="n">
        <v>0.0137478367573181</v>
      </c>
      <c r="K7" s="0" t="n">
        <v>0.00225692597630717</v>
      </c>
      <c r="L7" s="0" t="n">
        <v>0.000836685217153581</v>
      </c>
      <c r="M7" s="0" t="s">
        <v>3</v>
      </c>
      <c r="N7" s="0" t="n">
        <v>10</v>
      </c>
    </row>
    <row r="8" customFormat="false" ht="15" hidden="false" customHeight="false" outlineLevel="0" collapsed="false">
      <c r="A8" s="0" t="n">
        <v>100</v>
      </c>
      <c r="B8" s="0" t="n">
        <v>100</v>
      </c>
      <c r="C8" s="0" t="n">
        <v>100</v>
      </c>
      <c r="D8" s="0" t="n">
        <v>11</v>
      </c>
      <c r="E8" s="0" t="n">
        <v>1</v>
      </c>
      <c r="F8" s="0" t="n">
        <v>0.005</v>
      </c>
      <c r="G8" s="0" t="n">
        <v>12</v>
      </c>
      <c r="H8" s="1" t="b">
        <f aca="false">TRUE()</f>
        <v>1</v>
      </c>
      <c r="I8" s="1" t="b">
        <f aca="false">TRUE()</f>
        <v>1</v>
      </c>
      <c r="J8" s="0" t="n">
        <v>0.0138533408241983</v>
      </c>
      <c r="K8" s="0" t="n">
        <v>0.00227044618029301</v>
      </c>
      <c r="L8" s="0" t="n">
        <v>0.00152645121129881</v>
      </c>
      <c r="M8" s="0" t="s">
        <v>3</v>
      </c>
      <c r="N8" s="0" t="n">
        <v>11</v>
      </c>
    </row>
    <row r="9" customFormat="false" ht="15" hidden="false" customHeight="false" outlineLevel="0" collapsed="false">
      <c r="A9" s="0" t="n">
        <v>100</v>
      </c>
      <c r="B9" s="0" t="n">
        <v>100</v>
      </c>
      <c r="C9" s="0" t="n">
        <v>100</v>
      </c>
      <c r="D9" s="0" t="n">
        <v>12</v>
      </c>
      <c r="E9" s="0" t="n">
        <v>1</v>
      </c>
      <c r="F9" s="0" t="n">
        <v>0.005</v>
      </c>
      <c r="G9" s="0" t="n">
        <v>12</v>
      </c>
      <c r="H9" s="1" t="b">
        <f aca="false">TRUE()</f>
        <v>1</v>
      </c>
      <c r="I9" s="1" t="b">
        <f aca="false">TRUE()</f>
        <v>1</v>
      </c>
      <c r="J9" s="0" t="n">
        <v>0.0140439924697944</v>
      </c>
      <c r="K9" s="0" t="n">
        <v>0.00230558955959203</v>
      </c>
      <c r="L9" s="0" t="n">
        <v>0.00100486034728107</v>
      </c>
      <c r="M9" s="0" t="s">
        <v>3</v>
      </c>
      <c r="N9" s="0" t="n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 customFormat="false" ht="15" hidden="false" customHeight="false" outlineLevel="0" collapsed="false">
      <c r="A2" s="0" t="n">
        <v>100</v>
      </c>
      <c r="B2" s="0" t="n">
        <v>100</v>
      </c>
      <c r="C2" s="0" t="n">
        <v>100</v>
      </c>
      <c r="D2" s="0" t="n">
        <v>10</v>
      </c>
      <c r="E2" s="0" t="n">
        <v>1</v>
      </c>
      <c r="F2" s="0" t="n">
        <v>10</v>
      </c>
      <c r="G2" s="0" t="n">
        <v>12</v>
      </c>
      <c r="H2" s="1" t="b">
        <f aca="false">TRUE()</f>
        <v>1</v>
      </c>
      <c r="I2" s="1" t="b">
        <f aca="false">TRUE()</f>
        <v>1</v>
      </c>
      <c r="J2" s="0" t="n">
        <v>0.134670619230747</v>
      </c>
      <c r="K2" s="0" t="n">
        <v>0.0200976874628649</v>
      </c>
      <c r="L2" s="0" t="n">
        <v>0.339044896484622</v>
      </c>
      <c r="M2" s="0" t="s">
        <v>15</v>
      </c>
      <c r="N2" s="0" t="n">
        <v>10</v>
      </c>
    </row>
    <row r="3" customFormat="false" ht="15" hidden="false" customHeight="false" outlineLevel="0" collapsed="false">
      <c r="A3" s="0" t="n">
        <v>100</v>
      </c>
      <c r="B3" s="0" t="n">
        <v>100</v>
      </c>
      <c r="C3" s="0" t="n">
        <v>100</v>
      </c>
      <c r="D3" s="0" t="n">
        <v>10</v>
      </c>
      <c r="E3" s="0" t="n">
        <v>1</v>
      </c>
      <c r="F3" s="0" t="n">
        <v>5</v>
      </c>
      <c r="G3" s="0" t="n">
        <v>12</v>
      </c>
      <c r="H3" s="1" t="b">
        <f aca="false">TRUE()</f>
        <v>1</v>
      </c>
      <c r="I3" s="1" t="b">
        <f aca="false">TRUE()</f>
        <v>1</v>
      </c>
      <c r="J3" s="0" t="n">
        <v>0.0679145713720573</v>
      </c>
      <c r="K3" s="0" t="n">
        <v>0.00992428636893862</v>
      </c>
      <c r="L3" s="0" t="n">
        <v>0.000269069343643397</v>
      </c>
      <c r="M3" s="0" t="s">
        <v>15</v>
      </c>
      <c r="N3" s="0" t="n">
        <v>5</v>
      </c>
    </row>
    <row r="4" customFormat="false" ht="15" hidden="false" customHeight="false" outlineLevel="0" collapsed="false">
      <c r="A4" s="0" t="n">
        <v>100</v>
      </c>
      <c r="B4" s="0" t="n">
        <v>100</v>
      </c>
      <c r="C4" s="0" t="n">
        <v>100</v>
      </c>
      <c r="D4" s="0" t="n">
        <v>10</v>
      </c>
      <c r="E4" s="0" t="n">
        <v>1</v>
      </c>
      <c r="F4" s="0" t="n">
        <v>1</v>
      </c>
      <c r="G4" s="0" t="n">
        <v>12</v>
      </c>
      <c r="H4" s="1" t="b">
        <f aca="false">TRUE()</f>
        <v>1</v>
      </c>
      <c r="I4" s="1" t="b">
        <f aca="false">TRUE()</f>
        <v>1</v>
      </c>
      <c r="J4" s="0" t="n">
        <v>0.0150713433669694</v>
      </c>
      <c r="K4" s="0" t="n">
        <v>0.00261152404396205</v>
      </c>
      <c r="L4" s="0" t="n">
        <v>0.000235040356868189</v>
      </c>
      <c r="M4" s="0" t="s">
        <v>15</v>
      </c>
      <c r="N4" s="0" t="n">
        <v>1</v>
      </c>
    </row>
    <row r="5" customFormat="false" ht="15" hidden="false" customHeight="false" outlineLevel="0" collapsed="false">
      <c r="A5" s="0" t="n">
        <v>100</v>
      </c>
      <c r="B5" s="0" t="n">
        <v>100</v>
      </c>
      <c r="C5" s="0" t="n">
        <v>100</v>
      </c>
      <c r="D5" s="0" t="n">
        <v>10</v>
      </c>
      <c r="E5" s="0" t="n">
        <v>1</v>
      </c>
      <c r="F5" s="0" t="n">
        <v>0.5</v>
      </c>
      <c r="G5" s="0" t="n">
        <v>12</v>
      </c>
      <c r="H5" s="1" t="b">
        <f aca="false">TRUE()</f>
        <v>1</v>
      </c>
      <c r="I5" s="1" t="b">
        <f aca="false">TRUE()</f>
        <v>1</v>
      </c>
      <c r="J5" s="0" t="n">
        <v>0.0144004991214501</v>
      </c>
      <c r="K5" s="0" t="n">
        <v>0.00221426037012022</v>
      </c>
      <c r="L5" s="0" t="n">
        <v>0.000317489179136728</v>
      </c>
      <c r="M5" s="0" t="s">
        <v>15</v>
      </c>
      <c r="N5" s="0" t="n">
        <v>0.5</v>
      </c>
    </row>
    <row r="6" customFormat="false" ht="15" hidden="false" customHeight="false" outlineLevel="0" collapsed="false">
      <c r="A6" s="0" t="n">
        <v>100</v>
      </c>
      <c r="B6" s="0" t="n">
        <v>100</v>
      </c>
      <c r="C6" s="0" t="n">
        <v>100</v>
      </c>
      <c r="D6" s="0" t="n">
        <v>10</v>
      </c>
      <c r="E6" s="0" t="n">
        <v>1</v>
      </c>
      <c r="F6" s="0" t="n">
        <v>0.1</v>
      </c>
      <c r="G6" s="0" t="n">
        <v>12</v>
      </c>
      <c r="H6" s="1" t="b">
        <f aca="false">TRUE()</f>
        <v>1</v>
      </c>
      <c r="I6" s="1" t="b">
        <f aca="false">TRUE()</f>
        <v>1</v>
      </c>
      <c r="J6" s="0" t="n">
        <v>0.0138652928216914</v>
      </c>
      <c r="K6" s="0" t="n">
        <v>0.00221267994815037</v>
      </c>
      <c r="L6" s="0" t="n">
        <v>0.000627399000116814</v>
      </c>
      <c r="M6" s="0" t="s">
        <v>15</v>
      </c>
      <c r="N6" s="0" t="n">
        <v>0.1</v>
      </c>
    </row>
    <row r="7" customFormat="false" ht="15" hidden="false" customHeight="false" outlineLevel="0" collapsed="false">
      <c r="A7" s="0" t="n">
        <v>100</v>
      </c>
      <c r="B7" s="0" t="n">
        <v>100</v>
      </c>
      <c r="C7" s="0" t="n">
        <v>100</v>
      </c>
      <c r="D7" s="0" t="n">
        <v>10</v>
      </c>
      <c r="E7" s="0" t="n">
        <v>1</v>
      </c>
      <c r="F7" s="0" t="n">
        <v>0.05</v>
      </c>
      <c r="G7" s="0" t="n">
        <v>12</v>
      </c>
      <c r="H7" s="1" t="b">
        <f aca="false">TRUE()</f>
        <v>1</v>
      </c>
      <c r="I7" s="1" t="b">
        <f aca="false">TRUE()</f>
        <v>1</v>
      </c>
      <c r="J7" s="0" t="n">
        <v>0.0138034738359778</v>
      </c>
      <c r="K7" s="0" t="n">
        <v>0.0022339418437342</v>
      </c>
      <c r="L7" s="0" t="n">
        <v>0.000672845861215745</v>
      </c>
      <c r="M7" s="0" t="s">
        <v>15</v>
      </c>
      <c r="N7" s="0" t="n">
        <v>0.05</v>
      </c>
    </row>
    <row r="8" customFormat="false" ht="15" hidden="false" customHeight="false" outlineLevel="0" collapsed="false">
      <c r="A8" s="0" t="n">
        <v>100</v>
      </c>
      <c r="B8" s="0" t="n">
        <v>100</v>
      </c>
      <c r="C8" s="0" t="n">
        <v>100</v>
      </c>
      <c r="D8" s="0" t="n">
        <v>10</v>
      </c>
      <c r="E8" s="0" t="n">
        <v>1</v>
      </c>
      <c r="F8" s="0" t="n">
        <v>0.01</v>
      </c>
      <c r="G8" s="0" t="n">
        <v>12</v>
      </c>
      <c r="H8" s="1" t="b">
        <f aca="false">TRUE()</f>
        <v>1</v>
      </c>
      <c r="I8" s="1" t="b">
        <f aca="false">TRUE()</f>
        <v>1</v>
      </c>
      <c r="J8" s="0" t="n">
        <v>0.0137540186565133</v>
      </c>
      <c r="K8" s="0" t="n">
        <v>0.00225419563402296</v>
      </c>
      <c r="L8" s="0" t="n">
        <v>0.000858147617612396</v>
      </c>
      <c r="M8" s="0" t="s">
        <v>15</v>
      </c>
      <c r="N8" s="0" t="n">
        <v>0.01</v>
      </c>
    </row>
    <row r="9" customFormat="false" ht="15" hidden="false" customHeight="false" outlineLevel="0" collapsed="false">
      <c r="A9" s="0" t="n">
        <v>100</v>
      </c>
      <c r="B9" s="0" t="n">
        <v>100</v>
      </c>
      <c r="C9" s="0" t="n">
        <v>100</v>
      </c>
      <c r="D9" s="0" t="n">
        <v>10</v>
      </c>
      <c r="E9" s="0" t="n">
        <v>1</v>
      </c>
      <c r="F9" s="0" t="n">
        <v>0.005</v>
      </c>
      <c r="G9" s="0" t="n">
        <v>12</v>
      </c>
      <c r="H9" s="1" t="b">
        <f aca="false">TRUE()</f>
        <v>1</v>
      </c>
      <c r="I9" s="1" t="b">
        <f aca="false">TRUE()</f>
        <v>1</v>
      </c>
      <c r="J9" s="0" t="n">
        <v>0.0137478367573181</v>
      </c>
      <c r="K9" s="0" t="n">
        <v>0.00225692597630717</v>
      </c>
      <c r="L9" s="0" t="n">
        <v>0.000836685217153581</v>
      </c>
      <c r="M9" s="0" t="s">
        <v>15</v>
      </c>
      <c r="N9" s="0" t="n">
        <v>0.005</v>
      </c>
    </row>
    <row r="10" customFormat="false" ht="15" hidden="false" customHeight="false" outlineLevel="0" collapsed="false">
      <c r="A10" s="0" t="n">
        <v>100</v>
      </c>
      <c r="B10" s="0" t="n">
        <v>100</v>
      </c>
      <c r="C10" s="0" t="n">
        <v>100</v>
      </c>
      <c r="D10" s="0" t="n">
        <v>10</v>
      </c>
      <c r="E10" s="0" t="n">
        <v>1</v>
      </c>
      <c r="F10" s="0" t="n">
        <v>0.001</v>
      </c>
      <c r="G10" s="0" t="n">
        <v>12</v>
      </c>
      <c r="H10" s="1" t="b">
        <f aca="false">TRUE()</f>
        <v>1</v>
      </c>
      <c r="I10" s="1" t="b">
        <f aca="false">TRUE()</f>
        <v>1</v>
      </c>
      <c r="J10" s="0" t="n">
        <v>0.0137428912350401</v>
      </c>
      <c r="K10" s="0" t="n">
        <v>0.00225914166277068</v>
      </c>
      <c r="L10" s="0" t="n">
        <v>0.00150995110141693</v>
      </c>
      <c r="M10" s="0" t="s">
        <v>15</v>
      </c>
      <c r="N10" s="0" t="n">
        <v>0.001</v>
      </c>
    </row>
    <row r="11" customFormat="false" ht="15" hidden="false" customHeight="false" outlineLevel="0" collapsed="false">
      <c r="A11" s="0" t="n">
        <v>100</v>
      </c>
      <c r="B11" s="0" t="n">
        <v>100</v>
      </c>
      <c r="C11" s="0" t="n">
        <v>100</v>
      </c>
      <c r="D11" s="0" t="n">
        <v>10</v>
      </c>
      <c r="E11" s="0" t="n">
        <v>1</v>
      </c>
      <c r="F11" s="0" t="n">
        <v>0.0005</v>
      </c>
      <c r="G11" s="0" t="n">
        <v>12</v>
      </c>
      <c r="H11" s="1" t="b">
        <f aca="false">TRUE()</f>
        <v>1</v>
      </c>
      <c r="I11" s="1" t="b">
        <f aca="false">TRUE()</f>
        <v>1</v>
      </c>
      <c r="J11" s="0" t="n">
        <v>0.0137422730514487</v>
      </c>
      <c r="K11" s="0" t="n">
        <v>0.00225942058301051</v>
      </c>
      <c r="L11" s="0" t="n">
        <v>0.00146681096033738</v>
      </c>
      <c r="M11" s="0" t="s">
        <v>15</v>
      </c>
      <c r="N11" s="0" t="n">
        <v>0.0005</v>
      </c>
    </row>
    <row r="12" customFormat="false" ht="15" hidden="false" customHeight="false" outlineLevel="0" collapsed="false">
      <c r="A12" s="0" t="n">
        <v>100</v>
      </c>
      <c r="B12" s="0" t="n">
        <v>100</v>
      </c>
      <c r="C12" s="0" t="n">
        <v>100</v>
      </c>
      <c r="D12" s="0" t="n">
        <v>10</v>
      </c>
      <c r="E12" s="0" t="n">
        <v>1</v>
      </c>
      <c r="F12" s="0" t="n">
        <v>0.0001</v>
      </c>
      <c r="G12" s="0" t="n">
        <v>12</v>
      </c>
      <c r="H12" s="1" t="b">
        <f aca="false">TRUE()</f>
        <v>1</v>
      </c>
      <c r="I12" s="1" t="b">
        <f aca="false">TRUE()</f>
        <v>1</v>
      </c>
      <c r="J12" s="0" t="n">
        <v>0.0137417784929284</v>
      </c>
      <c r="K12" s="0" t="n">
        <v>0.00225964403219149</v>
      </c>
      <c r="L12" s="0" t="n">
        <v>0.00262029308055716</v>
      </c>
      <c r="M12" s="0" t="s">
        <v>15</v>
      </c>
      <c r="N12" s="0" t="n">
        <v>0.0001</v>
      </c>
    </row>
    <row r="13" customFormat="false" ht="15" hidden="false" customHeight="false" outlineLevel="0" collapsed="false">
      <c r="A13" s="0" t="n">
        <v>100</v>
      </c>
      <c r="B13" s="0" t="n">
        <v>100</v>
      </c>
      <c r="C13" s="0" t="n">
        <v>100</v>
      </c>
      <c r="D13" s="0" t="n">
        <v>10</v>
      </c>
      <c r="E13" s="0" t="n">
        <v>1</v>
      </c>
      <c r="F13" s="0" t="n">
        <v>5E-005</v>
      </c>
      <c r="G13" s="0" t="n">
        <v>12</v>
      </c>
      <c r="H13" s="1" t="b">
        <f aca="false">TRUE()</f>
        <v>1</v>
      </c>
      <c r="I13" s="1" t="b">
        <f aca="false">TRUE()</f>
        <v>1</v>
      </c>
      <c r="J13" s="0" t="n">
        <v>0.0137417166746161</v>
      </c>
      <c r="K13" s="0" t="n">
        <v>0.00225967198231589</v>
      </c>
      <c r="L13" s="0" t="n">
        <v>0.00206129569329189</v>
      </c>
      <c r="M13" s="0" t="s">
        <v>15</v>
      </c>
      <c r="N13" s="0" t="n">
        <v>5E-005</v>
      </c>
    </row>
    <row r="14" customFormat="false" ht="15" hidden="false" customHeight="false" outlineLevel="0" collapsed="false">
      <c r="A14" s="0" t="n">
        <v>100</v>
      </c>
      <c r="B14" s="0" t="n">
        <v>100</v>
      </c>
      <c r="C14" s="0" t="n">
        <v>100</v>
      </c>
      <c r="D14" s="0" t="n">
        <v>10</v>
      </c>
      <c r="E14" s="0" t="n">
        <v>1</v>
      </c>
      <c r="F14" s="0" t="n">
        <v>1E-005</v>
      </c>
      <c r="G14" s="0" t="n">
        <v>12</v>
      </c>
      <c r="H14" s="1" t="b">
        <f aca="false">TRUE()</f>
        <v>1</v>
      </c>
      <c r="I14" s="1" t="b">
        <f aca="false">TRUE()</f>
        <v>1</v>
      </c>
      <c r="J14" s="0" t="n">
        <v>0.0137416672292687</v>
      </c>
      <c r="K14" s="0" t="n">
        <v>0.00225969434602604</v>
      </c>
      <c r="L14" s="0" t="n">
        <v>0.0027867142818486</v>
      </c>
      <c r="M14" s="0" t="s">
        <v>15</v>
      </c>
      <c r="N14" s="0" t="n">
        <v>1E-005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 customFormat="false" ht="15" hidden="false" customHeight="false" outlineLevel="0" collapsed="false">
      <c r="A2" s="0" t="n">
        <v>100</v>
      </c>
      <c r="B2" s="0" t="n">
        <v>100</v>
      </c>
      <c r="C2" s="0" t="n">
        <v>100</v>
      </c>
      <c r="D2" s="0" t="n">
        <v>10</v>
      </c>
      <c r="E2" s="0" t="n">
        <v>1</v>
      </c>
      <c r="F2" s="0" t="n">
        <v>0.005</v>
      </c>
      <c r="G2" s="0" t="n">
        <v>0</v>
      </c>
      <c r="H2" s="1" t="b">
        <f aca="false">TRUE()</f>
        <v>1</v>
      </c>
      <c r="I2" s="1" t="b">
        <f aca="false">TRUE()</f>
        <v>1</v>
      </c>
      <c r="J2" s="0" t="n">
        <v>0.013357002228413</v>
      </c>
      <c r="K2" s="0" t="n">
        <v>0.0135264417540988</v>
      </c>
      <c r="L2" s="0" t="n">
        <v>0.000402416869858232</v>
      </c>
      <c r="M2" s="0" t="s">
        <v>16</v>
      </c>
      <c r="N2" s="0" t="n">
        <v>0</v>
      </c>
    </row>
    <row r="3" customFormat="false" ht="15" hidden="false" customHeight="false" outlineLevel="0" collapsed="false">
      <c r="A3" s="0" t="n">
        <v>100</v>
      </c>
      <c r="B3" s="0" t="n">
        <v>100</v>
      </c>
      <c r="C3" s="0" t="n">
        <v>100</v>
      </c>
      <c r="D3" s="0" t="n">
        <v>10</v>
      </c>
      <c r="E3" s="0" t="n">
        <v>1</v>
      </c>
      <c r="F3" s="0" t="n">
        <v>0.005</v>
      </c>
      <c r="G3" s="0" t="n">
        <v>4</v>
      </c>
      <c r="H3" s="1" t="b">
        <f aca="false">TRUE()</f>
        <v>1</v>
      </c>
      <c r="I3" s="1" t="b">
        <f aca="false">TRUE()</f>
        <v>1</v>
      </c>
      <c r="J3" s="0" t="n">
        <v>0.0104881616281001</v>
      </c>
      <c r="K3" s="0" t="n">
        <v>0.00510571919308371</v>
      </c>
      <c r="L3" s="0" t="n">
        <v>0.337034010919127</v>
      </c>
      <c r="M3" s="0" t="s">
        <v>16</v>
      </c>
      <c r="N3" s="0" t="n">
        <v>4</v>
      </c>
    </row>
    <row r="4" customFormat="false" ht="15" hidden="false" customHeight="false" outlineLevel="0" collapsed="false">
      <c r="A4" s="0" t="n">
        <v>100</v>
      </c>
      <c r="B4" s="0" t="n">
        <v>100</v>
      </c>
      <c r="C4" s="0" t="n">
        <v>100</v>
      </c>
      <c r="D4" s="0" t="n">
        <v>10</v>
      </c>
      <c r="E4" s="0" t="n">
        <v>1</v>
      </c>
      <c r="F4" s="0" t="n">
        <v>0.005</v>
      </c>
      <c r="G4" s="0" t="n">
        <v>6</v>
      </c>
      <c r="H4" s="1" t="b">
        <f aca="false">TRUE()</f>
        <v>1</v>
      </c>
      <c r="I4" s="1" t="b">
        <f aca="false">TRUE()</f>
        <v>1</v>
      </c>
      <c r="J4" s="0" t="n">
        <v>0.00771132529945573</v>
      </c>
      <c r="K4" s="0" t="n">
        <v>0.00252738248621095</v>
      </c>
      <c r="L4" s="0" t="n">
        <v>0.966654244228119</v>
      </c>
      <c r="M4" s="0" t="s">
        <v>16</v>
      </c>
      <c r="N4" s="0" t="n">
        <v>6</v>
      </c>
    </row>
    <row r="5" customFormat="false" ht="15" hidden="false" customHeight="false" outlineLevel="0" collapsed="false">
      <c r="A5" s="0" t="n">
        <v>100</v>
      </c>
      <c r="B5" s="0" t="n">
        <v>100</v>
      </c>
      <c r="C5" s="0" t="n">
        <v>100</v>
      </c>
      <c r="D5" s="0" t="n">
        <v>10</v>
      </c>
      <c r="E5" s="0" t="n">
        <v>1</v>
      </c>
      <c r="F5" s="0" t="n">
        <v>0.005</v>
      </c>
      <c r="G5" s="0" t="n">
        <v>8</v>
      </c>
      <c r="H5" s="1" t="b">
        <f aca="false">TRUE()</f>
        <v>1</v>
      </c>
      <c r="I5" s="1" t="b">
        <f aca="false">TRUE()</f>
        <v>1</v>
      </c>
      <c r="J5" s="0" t="n">
        <v>0.010768580256099</v>
      </c>
      <c r="K5" s="0" t="n">
        <v>0.00215705690603187</v>
      </c>
      <c r="L5" s="0" t="n">
        <v>0.088948187495466</v>
      </c>
      <c r="M5" s="0" t="s">
        <v>16</v>
      </c>
      <c r="N5" s="0" t="n">
        <v>8</v>
      </c>
    </row>
    <row r="6" customFormat="false" ht="15" hidden="false" customHeight="false" outlineLevel="0" collapsed="false">
      <c r="A6" s="0" t="n">
        <v>100</v>
      </c>
      <c r="B6" s="0" t="n">
        <v>100</v>
      </c>
      <c r="C6" s="0" t="n">
        <v>100</v>
      </c>
      <c r="D6" s="0" t="n">
        <v>10</v>
      </c>
      <c r="E6" s="0" t="n">
        <v>1</v>
      </c>
      <c r="F6" s="0" t="n">
        <v>0.005</v>
      </c>
      <c r="G6" s="0" t="n">
        <v>12</v>
      </c>
      <c r="H6" s="1" t="b">
        <f aca="false">TRUE()</f>
        <v>1</v>
      </c>
      <c r="I6" s="1" t="b">
        <f aca="false">TRUE()</f>
        <v>1</v>
      </c>
      <c r="J6" s="0" t="n">
        <v>0.0137478367573181</v>
      </c>
      <c r="K6" s="0" t="n">
        <v>0.00225692597630717</v>
      </c>
      <c r="L6" s="0" t="n">
        <v>0.000836685217153581</v>
      </c>
      <c r="M6" s="0" t="s">
        <v>16</v>
      </c>
      <c r="N6" s="0" t="n">
        <v>12</v>
      </c>
    </row>
    <row r="7" customFormat="false" ht="15" hidden="false" customHeight="false" outlineLevel="0" collapsed="false">
      <c r="A7" s="0" t="n">
        <v>100</v>
      </c>
      <c r="B7" s="0" t="n">
        <v>100</v>
      </c>
      <c r="C7" s="0" t="n">
        <v>100</v>
      </c>
      <c r="D7" s="0" t="n">
        <v>10</v>
      </c>
      <c r="E7" s="0" t="n">
        <v>1</v>
      </c>
      <c r="F7" s="0" t="n">
        <v>0.005</v>
      </c>
      <c r="G7" s="0" t="n">
        <v>16</v>
      </c>
      <c r="H7" s="1" t="b">
        <f aca="false">TRUE()</f>
        <v>1</v>
      </c>
      <c r="I7" s="1" t="b">
        <f aca="false">TRUE()</f>
        <v>1</v>
      </c>
      <c r="J7" s="0" t="n">
        <v>0.0107813751780851</v>
      </c>
      <c r="K7" s="0" t="n">
        <v>0.00216040929246959</v>
      </c>
      <c r="L7" s="0" t="n">
        <v>0.0130663934203615</v>
      </c>
      <c r="M7" s="0" t="s">
        <v>16</v>
      </c>
      <c r="N7" s="0" t="n">
        <v>16</v>
      </c>
    </row>
    <row r="8" customFormat="false" ht="15" hidden="false" customHeight="false" outlineLevel="0" collapsed="false">
      <c r="A8" s="0" t="n">
        <v>100</v>
      </c>
      <c r="B8" s="0" t="n">
        <v>100</v>
      </c>
      <c r="C8" s="0" t="n">
        <v>100</v>
      </c>
      <c r="D8" s="0" t="n">
        <v>10</v>
      </c>
      <c r="E8" s="0" t="n">
        <v>1</v>
      </c>
      <c r="F8" s="0" t="n">
        <v>0.005</v>
      </c>
      <c r="G8" s="0" t="n">
        <v>18</v>
      </c>
      <c r="H8" s="1" t="b">
        <f aca="false">TRUE()</f>
        <v>1</v>
      </c>
      <c r="I8" s="1" t="b">
        <f aca="false">TRUE()</f>
        <v>1</v>
      </c>
      <c r="J8" s="0" t="n">
        <v>0.00771944099705257</v>
      </c>
      <c r="K8" s="0" t="n">
        <v>0.00253324110059205</v>
      </c>
      <c r="L8" s="0" t="n">
        <v>0.0144796776495729</v>
      </c>
      <c r="M8" s="0" t="s">
        <v>16</v>
      </c>
      <c r="N8" s="0" t="n">
        <v>18</v>
      </c>
    </row>
    <row r="9" customFormat="false" ht="15" hidden="false" customHeight="false" outlineLevel="0" collapsed="false">
      <c r="A9" s="0" t="n">
        <v>100</v>
      </c>
      <c r="B9" s="0" t="n">
        <v>100</v>
      </c>
      <c r="C9" s="0" t="n">
        <v>100</v>
      </c>
      <c r="D9" s="0" t="n">
        <v>10</v>
      </c>
      <c r="E9" s="0" t="n">
        <v>1</v>
      </c>
      <c r="F9" s="0" t="n">
        <v>0.005</v>
      </c>
      <c r="G9" s="0" t="n">
        <v>20</v>
      </c>
      <c r="H9" s="1" t="b">
        <f aca="false">TRUE()</f>
        <v>1</v>
      </c>
      <c r="I9" s="1" t="b">
        <f aca="false">TRUE()</f>
        <v>1</v>
      </c>
      <c r="J9" s="0" t="n">
        <v>0.0104164780625065</v>
      </c>
      <c r="K9" s="0" t="n">
        <v>0.0051120230888298</v>
      </c>
      <c r="L9" s="0" t="n">
        <v>0.145568459246401</v>
      </c>
      <c r="M9" s="0" t="s">
        <v>16</v>
      </c>
      <c r="N9" s="0" t="n">
        <v>20</v>
      </c>
    </row>
    <row r="10" customFormat="false" ht="15" hidden="false" customHeight="false" outlineLevel="0" collapsed="false">
      <c r="A10" s="0" t="n">
        <v>100</v>
      </c>
      <c r="B10" s="0" t="n">
        <v>100</v>
      </c>
      <c r="C10" s="0" t="n">
        <v>100</v>
      </c>
      <c r="D10" s="0" t="n">
        <v>10</v>
      </c>
      <c r="E10" s="0" t="n">
        <v>1</v>
      </c>
      <c r="F10" s="0" t="n">
        <v>0.005</v>
      </c>
      <c r="G10" s="0" t="n">
        <v>24</v>
      </c>
      <c r="H10" s="1" t="b">
        <f aca="false">TRUE()</f>
        <v>1</v>
      </c>
      <c r="I10" s="1" t="b">
        <f aca="false">TRUE()</f>
        <v>1</v>
      </c>
      <c r="J10" s="0" t="n">
        <v>0.0133570023154971</v>
      </c>
      <c r="K10" s="0" t="n">
        <v>0.0135264417575483</v>
      </c>
      <c r="L10" s="0" t="n">
        <v>0.000402416867983132</v>
      </c>
      <c r="M10" s="0" t="s">
        <v>16</v>
      </c>
      <c r="N10" s="0" t="n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2026-07-03T03:07:48Z</dcterms:created>
  <dc:creator>openpyxl</dc:creator>
  <dc:description/>
  <dc:language>en-US</dc:language>
  <cp:lastModifiedBy/>
  <dcterms:modified xsi:type="dcterms:W3CDTF">2026-07-07T16:25:54Z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