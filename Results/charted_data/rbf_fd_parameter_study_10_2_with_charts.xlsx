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Grid Siz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max err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'Grid Size'!$N$2:$N$8</f>
              <numCache>
                <formatCode>General</formatCode>
                <ptCount val="7"/>
                <pt idx="0">
                  <v>20</v>
                </pt>
                <pt idx="1">
                  <v>30</v>
                </pt>
                <pt idx="2">
                  <v>50</v>
                </pt>
                <pt idx="3">
                  <v>75</v>
                </pt>
                <pt idx="4">
                  <v>100</v>
                </pt>
                <pt idx="5">
                  <v>125</v>
                </pt>
                <pt idx="6">
                  <v>150</v>
                </pt>
              </numCache>
            </numRef>
          </xVal>
          <yVal>
            <numRef>
              <f>'Grid Size'!$J$10:$J$16</f>
              <numCache>
                <formatCode>General</formatCode>
                <ptCount val="7"/>
                <pt idx="0">
                  <v>2.208472584869395</v>
                </pt>
                <pt idx="1">
                  <v>1.778635227134944</v>
                </pt>
                <pt idx="2">
                  <v>0.6414873833188605</v>
                </pt>
                <pt idx="3">
                  <v>0.4358415715285159</v>
                </pt>
                <pt idx="4">
                  <v>0.4042392425244699</v>
                </pt>
                <pt idx="5">
                  <v>0.3261239854598119</v>
                </pt>
                <pt idx="6">
                  <v>0.188806212771853</v>
                </pt>
              </numCache>
            </numRef>
          </yVal>
          <smooth val="0"/>
        </ser>
        <ser>
          <idx val="1"/>
          <order val="1"/>
          <tx>
            <v>l2 err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'Grid Size'!$N$2:$N$8</f>
              <numCache>
                <formatCode>General</formatCode>
                <ptCount val="7"/>
                <pt idx="0">
                  <v>20</v>
                </pt>
                <pt idx="1">
                  <v>30</v>
                </pt>
                <pt idx="2">
                  <v>50</v>
                </pt>
                <pt idx="3">
                  <v>75</v>
                </pt>
                <pt idx="4">
                  <v>100</v>
                </pt>
                <pt idx="5">
                  <v>125</v>
                </pt>
                <pt idx="6">
                  <v>150</v>
                </pt>
              </numCache>
            </numRef>
          </xVal>
          <yVal>
            <numRef>
              <f>'Grid Size'!$K$10:$K$16</f>
              <numCache>
                <formatCode>General</formatCode>
                <ptCount val="7"/>
                <pt idx="0">
                  <v>1.256284135695816</v>
                </pt>
                <pt idx="1">
                  <v>0.6047462967476713</v>
                </pt>
                <pt idx="2">
                  <v>-0.001499626259089972</v>
                </pt>
                <pt idx="3">
                  <v>-0.1417674320817855</v>
                </pt>
                <pt idx="4">
                  <v>-0.2153766285000419</v>
                </pt>
                <pt idx="5">
                  <v>-0.2937036253361185</v>
                </pt>
                <pt idx="6">
                  <v>-0.3598755142486658</v>
                </pt>
              </numCache>
            </numRef>
          </yVal>
          <smooth val="0"/>
        </ser>
        <ser>
          <idx val="2"/>
          <order val="2"/>
          <tx>
            <v>energy err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'Grid Size'!$N$2:$N$8</f>
              <numCache>
                <formatCode>General</formatCode>
                <ptCount val="7"/>
                <pt idx="0">
                  <v>20</v>
                </pt>
                <pt idx="1">
                  <v>30</v>
                </pt>
                <pt idx="2">
                  <v>50</v>
                </pt>
                <pt idx="3">
                  <v>75</v>
                </pt>
                <pt idx="4">
                  <v>100</v>
                </pt>
                <pt idx="5">
                  <v>125</v>
                </pt>
                <pt idx="6">
                  <v>150</v>
                </pt>
              </numCache>
            </numRef>
          </xVal>
          <yVal>
            <numRef>
              <f>'Grid Size'!$L$10:$L$16</f>
              <numCache>
                <formatCode>General</formatCode>
                <ptCount val="7"/>
                <pt idx="0">
                  <v>0.932432035069603</v>
                </pt>
                <pt idx="1">
                  <v>0.7272280716155098</v>
                </pt>
                <pt idx="2">
                  <v>-0.3230350513168302</v>
                </pt>
                <pt idx="3">
                  <v>-0.4935448277634514</v>
                </pt>
                <pt idx="4">
                  <v>-0.426247616101927</v>
                </pt>
                <pt idx="5">
                  <v>-0.5157321055708123</v>
                </pt>
                <pt idx="6">
                  <v>-0.588631292638195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5509616"/>
        <axId val="16731184"/>
      </scatterChart>
      <valAx>
        <axId val="20550961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731184"/>
        <crosses val="autoZero"/>
        <crossBetween val="midCat"/>
      </valAx>
      <valAx>
        <axId val="167311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5509616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max_error_rel vs varied_value (Grid Size)</a:t>
            </a:r>
          </a:p>
        </rich>
      </tx>
    </title>
    <plotArea>
      <scatterChart>
        <ser>
          <idx val="0"/>
          <order val="0"/>
          <tx>
            <strRef>
              <f>'Grid Size'!J1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'Grid Size'!$N$2:$N$16</f>
            </numRef>
          </xVal>
          <yVal>
            <numRef>
              <f>'Grid Size'!$J$2:$J$16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varied_value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max_error_rel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l2_error_rel vs varied_value (Grid Size)</a:t>
            </a:r>
          </a:p>
        </rich>
      </tx>
    </title>
    <plotArea>
      <scatterChart>
        <ser>
          <idx val="0"/>
          <order val="0"/>
          <tx>
            <strRef>
              <f>'Grid Size'!K1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'Grid Size'!$N$2:$N$16</f>
            </numRef>
          </xVal>
          <yVal>
            <numRef>
              <f>'Grid Size'!$K$2:$K$16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varied_value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l2_error_rel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energy_error_rel vs varied_value (Grid Size)</a:t>
            </a:r>
          </a:p>
        </rich>
      </tx>
    </title>
    <plotArea>
      <scatterChart>
        <ser>
          <idx val="0"/>
          <order val="0"/>
          <tx>
            <strRef>
              <f>'Grid Size'!L1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'Grid Size'!$N$2:$N$16</f>
            </numRef>
          </xVal>
          <yVal>
            <numRef>
              <f>'Grid Size'!$L$2:$L$16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varied_value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energy_error_rel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1</col>
      <colOff>60960</colOff>
      <row>8</row>
      <rowOff>140970</rowOff>
    </from>
    <to>
      <col>8</col>
      <colOff>365760</colOff>
      <row>23</row>
      <rowOff>140970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15</col>
      <colOff>0</colOff>
      <row>1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20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39</row>
      <rowOff>0</rowOff>
    </from>
    <ext cx="54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L23" sqref="L23"/>
    </sheetView>
  </sheetViews>
  <sheetFormatPr baseColWidth="8" defaultRowHeight="14.4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20</v>
      </c>
      <c r="B2" t="n">
        <v>20</v>
      </c>
      <c r="C2" t="n">
        <v>100</v>
      </c>
      <c r="D2" t="n">
        <v>10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161.6116204466646</v>
      </c>
      <c r="K2" t="n">
        <v>18.04197745082746</v>
      </c>
      <c r="L2" t="n">
        <v>8.559177543591165</v>
      </c>
      <c r="M2" t="inlineStr">
        <is>
          <t>N_int</t>
        </is>
      </c>
      <c r="N2" t="n">
        <v>20</v>
      </c>
    </row>
    <row r="3">
      <c r="A3" t="n">
        <v>30</v>
      </c>
      <c r="B3" t="n">
        <v>30</v>
      </c>
      <c r="C3" t="n">
        <v>100</v>
      </c>
      <c r="D3" t="n">
        <v>10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60.06690112948126</v>
      </c>
      <c r="K3" t="n">
        <v>4.024818464776576</v>
      </c>
      <c r="L3" t="n">
        <v>5.336150521586992</v>
      </c>
      <c r="M3" t="inlineStr">
        <is>
          <t>N_int</t>
        </is>
      </c>
      <c r="N3" t="n">
        <v>30</v>
      </c>
    </row>
    <row r="4">
      <c r="A4" t="n">
        <v>50</v>
      </c>
      <c r="B4" t="n">
        <v>50</v>
      </c>
      <c r="C4" t="n">
        <v>100</v>
      </c>
      <c r="D4" t="n">
        <v>10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4.380133862665629</v>
      </c>
      <c r="K4" t="n">
        <v>0.9965529377382082</v>
      </c>
      <c r="L4" t="n">
        <v>0.4752968638314523</v>
      </c>
      <c r="M4" t="inlineStr">
        <is>
          <t>N_int</t>
        </is>
      </c>
      <c r="N4" t="n">
        <v>50</v>
      </c>
    </row>
    <row r="5">
      <c r="A5" t="n">
        <v>75</v>
      </c>
      <c r="B5" t="n">
        <v>75</v>
      </c>
      <c r="C5" t="n">
        <v>100</v>
      </c>
      <c r="D5" t="n">
        <v>10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2.727982446815338</v>
      </c>
      <c r="K5" t="n">
        <v>0.7214937410035708</v>
      </c>
      <c r="L5" t="n">
        <v>0.3209631489784419</v>
      </c>
      <c r="M5" t="inlineStr">
        <is>
          <t>N_int</t>
        </is>
      </c>
      <c r="N5" t="n">
        <v>75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2.536525557434623</v>
      </c>
      <c r="K6" t="n">
        <v>0.6090085242988724</v>
      </c>
      <c r="L6" t="n">
        <v>0.3747592696454148</v>
      </c>
      <c r="M6" t="inlineStr">
        <is>
          <t>N_int</t>
        </is>
      </c>
      <c r="N6" t="n">
        <v>100</v>
      </c>
    </row>
    <row r="7">
      <c r="A7" t="n">
        <v>125</v>
      </c>
      <c r="B7" t="n">
        <v>125</v>
      </c>
      <c r="C7" t="n">
        <v>100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2.118965986299876</v>
      </c>
      <c r="K7" t="n">
        <v>0.5085063430870039</v>
      </c>
      <c r="L7" t="n">
        <v>0.3049775662783035</v>
      </c>
      <c r="M7" t="inlineStr">
        <is>
          <t>N_int</t>
        </is>
      </c>
      <c r="N7" t="n">
        <v>125</v>
      </c>
    </row>
    <row r="8">
      <c r="A8" t="n">
        <v>150</v>
      </c>
      <c r="B8" t="n">
        <v>150</v>
      </c>
      <c r="C8" t="n">
        <v>100</v>
      </c>
      <c r="D8" t="n">
        <v>10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1.544565082920097</v>
      </c>
      <c r="K8" t="n">
        <v>0.4366409726514244</v>
      </c>
      <c r="L8" t="n">
        <v>0.2578509331058249</v>
      </c>
      <c r="M8" t="inlineStr">
        <is>
          <t>N_int</t>
        </is>
      </c>
      <c r="N8" t="n">
        <v>150</v>
      </c>
    </row>
    <row r="10">
      <c r="J10">
        <f t="array" ref="J10:J16">LOG10(J2:J8)</f>
        <v/>
      </c>
      <c r="K10">
        <f t="array" ref="K10:K16">LOG10(K2:K8)</f>
        <v/>
      </c>
      <c r="L10">
        <f t="array" ref="L10:L16">LOG10(L2:L8)</f>
        <v/>
      </c>
    </row>
    <row r="11">
      <c r="J11" t="n">
        <v>1.778635227134944</v>
      </c>
      <c r="K11" t="n">
        <v>0.6047462967476713</v>
      </c>
      <c r="L11" t="n">
        <v>0.7272280716155098</v>
      </c>
    </row>
    <row r="12">
      <c r="J12" t="n">
        <v>0.6414873833188605</v>
      </c>
      <c r="K12" t="n">
        <v>-0.001499626259089972</v>
      </c>
      <c r="L12" t="n">
        <v>-0.3230350513168302</v>
      </c>
    </row>
    <row r="13">
      <c r="J13" t="n">
        <v>0.4358415715285159</v>
      </c>
      <c r="K13" t="n">
        <v>-0.1417674320817855</v>
      </c>
      <c r="L13" t="n">
        <v>-0.4935448277634514</v>
      </c>
    </row>
    <row r="14">
      <c r="J14" t="n">
        <v>0.4042392425244699</v>
      </c>
      <c r="K14" t="n">
        <v>-0.2153766285000419</v>
      </c>
      <c r="L14" t="n">
        <v>-0.426247616101927</v>
      </c>
    </row>
    <row r="15">
      <c r="J15" t="n">
        <v>0.3261239854598119</v>
      </c>
      <c r="K15" t="n">
        <v>-0.2937036253361185</v>
      </c>
      <c r="L15" t="n">
        <v>-0.5157321055708123</v>
      </c>
    </row>
    <row r="16">
      <c r="J16" t="n">
        <v>0.188806212771853</v>
      </c>
      <c r="K16" t="n">
        <v>-0.3598755142486658</v>
      </c>
      <c r="L16" t="n">
        <v>-0.588631292638195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2026-07-02T16:24:27Z</dcterms:created>
  <dcterms:modified xmlns:dcterms="http://purl.org/dc/terms/" xmlns:xsi="http://www.w3.org/2001/XMLSchema-instance" xsi:type="dcterms:W3CDTF">2026-07-07T16:26:16Z</dcterms:modified>
  <cp:lastModifiedBy>Dennis Corraliza, Jr</cp:lastModifiedBy>
</cp:coreProperties>
</file>