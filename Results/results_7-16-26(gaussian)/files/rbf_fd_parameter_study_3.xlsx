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6.xml.rels" ContentType="application/vnd.openxmlformats-package.relationships+xml"/>
  <Override PartName="/xl/drawings/_rels/drawing5.xml.rels" ContentType="application/vnd.openxmlformats-package.relationships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rid Size" sheetId="1" state="visible" r:id="rId3"/>
    <sheet name="Length Scale" sheetId="2" state="visible" r:id="rId4"/>
    <sheet name="Stencil Nodes" sheetId="3" state="visible" r:id="rId5"/>
    <sheet name="Center Rings" sheetId="4" state="visible" r:id="rId6"/>
    <sheet name="Eigenvalue Ratio" sheetId="5" state="visible" r:id="rId7"/>
    <sheet name="Eigenvector Angle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<sst xmlns="http://schemas.openxmlformats.org/spreadsheetml/2006/main" count="170" uniqueCount="21">
  <si>
    <t xml:space="preserve">Nx</t>
  </si>
  <si>
    <t xml:space="preserve">Ny</t>
  </si>
  <si>
    <t xml:space="preserve">eps</t>
  </si>
  <si>
    <t xml:space="preserve">num_stencil_nodes</t>
  </si>
  <si>
    <t xml:space="preserve">num_rings</t>
  </si>
  <si>
    <t xml:space="preserve">eigenvalue 1</t>
  </si>
  <si>
    <t xml:space="preserve">eigenvalue 2</t>
  </si>
  <si>
    <t xml:space="preserve">radian = r/24</t>
  </si>
  <si>
    <t xml:space="preserve">augmentation</t>
  </si>
  <si>
    <t xml:space="preserve">sparse</t>
  </si>
  <si>
    <t xml:space="preserve">u_exact - u max_error_rel</t>
  </si>
  <si>
    <t xml:space="preserve">u_exact - u l2_error_rel</t>
  </si>
  <si>
    <t xml:space="preserve">energy_error_rel</t>
  </si>
  <si>
    <t xml:space="preserve">Lu_exact - F max_residual_rel</t>
  </si>
  <si>
    <t xml:space="preserve">Lu_exact - F l2_residual_rel</t>
  </si>
  <si>
    <t xml:space="preserve">varied_param</t>
  </si>
  <si>
    <t xml:space="preserve">varied_value</t>
  </si>
  <si>
    <t xml:space="preserve">N_int</t>
  </si>
  <si>
    <t xml:space="preserve">Inverse Length Scale</t>
  </si>
  <si>
    <t xml:space="preserve">eig_2</t>
  </si>
  <si>
    <t xml:space="preserve">rad24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</si>
</sst>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993366"/>
      <rgbColor rgb="FFFFFFCC"/>
      <rgbColor rgb="FFCCFFFF"/>
      <rgbColor rgb="FF660066"/>
      <rgbColor rgb="FFFF8080"/>
      <rgbColor rgb="FF1F77B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7F0E"/>
      <rgbColor rgb="FF9467BD"/>
      <rgbColor rgb="FF969696"/>
      <rgbColor rgb="FF003366"/>
      <rgbColor rgb="FF2CA02C"/>
      <rgbColor rgb="FF003300"/>
      <rgbColor rgb="FF333300"/>
      <rgbColor rgb="FFD62728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Grid Size: Relative Errors &amp; Residuals vs N_int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'Grid Size'!K1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Size'!$Q$2:$Q$13</c:f>
              <c:numCache>
                <c:formatCode>General</c:formatCode>
                <c:ptCount val="12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750</c:v>
                </c:pt>
              </c:numCache>
            </c:numRef>
          </c:xVal>
          <c:yVal>
            <c:numRef>
              <c:f>'Grid Size'!$K$2:$K$13</c:f>
              <c:numCache>
                <c:formatCode>General</c:formatCode>
                <c:ptCount val="12"/>
                <c:pt idx="0">
                  <c:v>0.0126449157749723</c:v>
                </c:pt>
                <c:pt idx="1">
                  <c:v>0.00586967220395059</c:v>
                </c:pt>
                <c:pt idx="2">
                  <c:v>0.00218993301843936</c:v>
                </c:pt>
                <c:pt idx="3">
                  <c:v>0.000989319827130397</c:v>
                </c:pt>
                <c:pt idx="4">
                  <c:v>0.00055962609967628</c:v>
                </c:pt>
                <c:pt idx="5">
                  <c:v>0.000360069719785063</c:v>
                </c:pt>
                <c:pt idx="6">
                  <c:v>0.000250657526729051</c:v>
                </c:pt>
                <c:pt idx="7">
                  <c:v>0.000184637574857689</c:v>
                </c:pt>
                <c:pt idx="8">
                  <c:v>0.000141554422406327</c:v>
                </c:pt>
                <c:pt idx="9">
                  <c:v>9.07704485438301E-005</c:v>
                </c:pt>
                <c:pt idx="10">
                  <c:v>2.27925495867049E-005</c:v>
                </c:pt>
                <c:pt idx="11">
                  <c:v>1.01058635240171E-005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'Grid Size'!L1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Size'!$Q$2:$Q$13</c:f>
              <c:numCache>
                <c:formatCode>General</c:formatCode>
                <c:ptCount val="12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750</c:v>
                </c:pt>
              </c:numCache>
            </c:numRef>
          </c:xVal>
          <c:yVal>
            <c:numRef>
              <c:f>'Grid Size'!$L$2:$L$13</c:f>
              <c:numCache>
                <c:formatCode>General</c:formatCode>
                <c:ptCount val="12"/>
                <c:pt idx="0">
                  <c:v>0.0126270248389058</c:v>
                </c:pt>
                <c:pt idx="1">
                  <c:v>0.00587572963824851</c:v>
                </c:pt>
                <c:pt idx="2">
                  <c:v>0.0021870292017585</c:v>
                </c:pt>
                <c:pt idx="3">
                  <c:v>0.000987184200448652</c:v>
                </c:pt>
                <c:pt idx="4">
                  <c:v>0.00055943342511779</c:v>
                </c:pt>
                <c:pt idx="5">
                  <c:v>0.000359600767644341</c:v>
                </c:pt>
                <c:pt idx="6">
                  <c:v>0.000250438392124019</c:v>
                </c:pt>
                <c:pt idx="7">
                  <c:v>0.000184367952231269</c:v>
                </c:pt>
                <c:pt idx="8">
                  <c:v>0.000141369768301344</c:v>
                </c:pt>
                <c:pt idx="9">
                  <c:v>9.06662769658863E-005</c:v>
                </c:pt>
                <c:pt idx="10">
                  <c:v>2.27627366573928E-005</c:v>
                </c:pt>
                <c:pt idx="11">
                  <c:v>1.00937194678216E-005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'Grid Size'!M1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Size'!$Q$2:$Q$13</c:f>
              <c:numCache>
                <c:formatCode>General</c:formatCode>
                <c:ptCount val="12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750</c:v>
                </c:pt>
              </c:numCache>
            </c:numRef>
          </c:xVal>
          <c:yVal>
            <c:numRef>
              <c:f>'Grid Size'!$M$2:$M$13</c:f>
              <c:numCache>
                <c:formatCode>General</c:formatCode>
                <c:ptCount val="12"/>
                <c:pt idx="0">
                  <c:v>0.0126283402350269</c:v>
                </c:pt>
                <c:pt idx="1">
                  <c:v>0.00587635410066752</c:v>
                </c:pt>
                <c:pt idx="2">
                  <c:v>0.00218726424728502</c:v>
                </c:pt>
                <c:pt idx="3">
                  <c:v>0.000987290694492043</c:v>
                </c:pt>
                <c:pt idx="4">
                  <c:v>0.000559493853936262</c:v>
                </c:pt>
                <c:pt idx="5">
                  <c:v>0.000359639635586522</c:v>
                </c:pt>
                <c:pt idx="6">
                  <c:v>0.000250465470317173</c:v>
                </c:pt>
                <c:pt idx="7">
                  <c:v>0.000184387890793706</c:v>
                </c:pt>
                <c:pt idx="8">
                  <c:v>0.000141385058787778</c:v>
                </c:pt>
                <c:pt idx="9">
                  <c:v>9.06760849423497E-005</c:v>
                </c:pt>
                <c:pt idx="10">
                  <c:v>2.27651993665991E-005</c:v>
                </c:pt>
                <c:pt idx="11">
                  <c:v>1.00948129555364E-005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'Grid Size'!N1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Size'!$Q$2:$Q$13</c:f>
              <c:numCache>
                <c:formatCode>General</c:formatCode>
                <c:ptCount val="12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750</c:v>
                </c:pt>
              </c:numCache>
            </c:numRef>
          </c:xVal>
          <c:yVal>
            <c:numRef>
              <c:f>'Grid Size'!$N$2:$N$13</c:f>
              <c:numCache>
                <c:formatCode>General</c:formatCode>
                <c:ptCount val="12"/>
                <c:pt idx="0">
                  <c:v>0.0127927946652633</c:v>
                </c:pt>
                <c:pt idx="1">
                  <c:v>0.00597247046421291</c:v>
                </c:pt>
                <c:pt idx="2">
                  <c:v>0.00219254161409891</c:v>
                </c:pt>
                <c:pt idx="3">
                  <c:v>0.000988480257783356</c:v>
                </c:pt>
                <c:pt idx="4">
                  <c:v>0.000560356024629184</c:v>
                </c:pt>
                <c:pt idx="5">
                  <c:v>0.000359846833977281</c:v>
                </c:pt>
                <c:pt idx="6">
                  <c:v>0.000250640056534901</c:v>
                </c:pt>
                <c:pt idx="7">
                  <c:v>0.000184461782374538</c:v>
                </c:pt>
                <c:pt idx="8">
                  <c:v>0.000141435752282808</c:v>
                </c:pt>
                <c:pt idx="9">
                  <c:v>9.07039752582021E-005</c:v>
                </c:pt>
                <c:pt idx="10">
                  <c:v>2.27707960718243E-005</c:v>
                </c:pt>
                <c:pt idx="11">
                  <c:v>1.00977895548577E-005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'Grid Size'!O1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'Grid Size'!$Q$2:$Q$13</c:f>
              <c:numCache>
                <c:formatCode>General</c:formatCode>
                <c:ptCount val="12"/>
                <c:pt idx="0">
                  <c:v>20</c:v>
                </c:pt>
                <c:pt idx="1">
                  <c:v>30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  <c:pt idx="6">
                  <c:v>150</c:v>
                </c:pt>
                <c:pt idx="7">
                  <c:v>175</c:v>
                </c:pt>
                <c:pt idx="8">
                  <c:v>200</c:v>
                </c:pt>
                <c:pt idx="9">
                  <c:v>250</c:v>
                </c:pt>
                <c:pt idx="10">
                  <c:v>500</c:v>
                </c:pt>
                <c:pt idx="11">
                  <c:v>750</c:v>
                </c:pt>
              </c:numCache>
            </c:numRef>
          </c:xVal>
          <c:yVal>
            <c:numRef>
              <c:f>'Grid Size'!$O$2:$O$13</c:f>
              <c:numCache>
                <c:formatCode>General</c:formatCode>
                <c:ptCount val="12"/>
                <c:pt idx="0">
                  <c:v>0.0127898887517432</c:v>
                </c:pt>
                <c:pt idx="1">
                  <c:v>0.00591109691465448</c:v>
                </c:pt>
                <c:pt idx="2">
                  <c:v>0.00219205967417199</c:v>
                </c:pt>
                <c:pt idx="3">
                  <c:v>0.000988266481492478</c:v>
                </c:pt>
                <c:pt idx="4">
                  <c:v>0.000559807051811444</c:v>
                </c:pt>
                <c:pt idx="5">
                  <c:v>0.000359768998007663</c:v>
                </c:pt>
                <c:pt idx="6">
                  <c:v>0.000250528195034042</c:v>
                </c:pt>
                <c:pt idx="7">
                  <c:v>0.00018442187539208</c:v>
                </c:pt>
                <c:pt idx="8">
                  <c:v>0.000141405034170046</c:v>
                </c:pt>
                <c:pt idx="9">
                  <c:v>9.06842956792701E-005</c:v>
                </c:pt>
                <c:pt idx="10">
                  <c:v>2.27657141623932E-005</c:v>
                </c:pt>
                <c:pt idx="11">
                  <c:v>1.00949133968354E-005</c:v>
                </c:pt>
              </c:numCache>
            </c:numRef>
          </c:yVal>
          <c:smooth val="0"/>
        </c:ser>
        <c:axId val="23236846"/>
        <c:axId val="521424"/>
      </c:scatterChart>
      <c:valAx>
        <c:axId val="2323684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N_int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21424"/>
        <c:crosses val="autoZero"/>
        <c:crossBetween val="midCat"/>
      </c:valAx>
      <c:valAx>
        <c:axId val="521424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236846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Length Scale: Relative Errors &amp; Residuals vs Inverse Length Scale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'Length Scale'!K1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Scale'!$K$2:$K$16</c:f>
              <c:numCache>
                <c:formatCode>General</c:formatCode>
                <c:ptCount val="15"/>
                <c:pt idx="0">
                  <c:v>17741.8060315819</c:v>
                </c:pt>
                <c:pt idx="1">
                  <c:v>4434.7014442247</c:v>
                </c:pt>
                <c:pt idx="2">
                  <c:v>9.51919488014213E-006</c:v>
                </c:pt>
                <c:pt idx="3">
                  <c:v>2.65448399958965E-005</c:v>
                </c:pt>
                <c:pt idx="4">
                  <c:v>1.4556860680757E-005</c:v>
                </c:pt>
                <c:pt idx="5">
                  <c:v>6.38576405976792E-006</c:v>
                </c:pt>
                <c:pt idx="6">
                  <c:v>2.73229873900344E-006</c:v>
                </c:pt>
                <c:pt idx="7">
                  <c:v>1.25755092003112E-005</c:v>
                </c:pt>
                <c:pt idx="8">
                  <c:v>2.27925495867049E-005</c:v>
                </c:pt>
                <c:pt idx="9">
                  <c:v>4.21322623399551E-005</c:v>
                </c:pt>
                <c:pt idx="10">
                  <c:v>5.30919031380559E-005</c:v>
                </c:pt>
                <c:pt idx="11">
                  <c:v>8.09925359434056E-005</c:v>
                </c:pt>
                <c:pt idx="12">
                  <c:v>0.00141205688688344</c:v>
                </c:pt>
                <c:pt idx="13">
                  <c:v>0.00566299770406353</c:v>
                </c:pt>
                <c:pt idx="14">
                  <c:v>0.0339921902928027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'Length Scale'!L1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Scale'!$L$2:$L$16</c:f>
              <c:numCache>
                <c:formatCode>General</c:formatCode>
                <c:ptCount val="15"/>
                <c:pt idx="0">
                  <c:v>17747.9620807749</c:v>
                </c:pt>
                <c:pt idx="1">
                  <c:v>4436.24049260255</c:v>
                </c:pt>
                <c:pt idx="2">
                  <c:v>9.51792325241975E-006</c:v>
                </c:pt>
                <c:pt idx="3">
                  <c:v>2.54969293337932E-005</c:v>
                </c:pt>
                <c:pt idx="4">
                  <c:v>1.45618717425119E-005</c:v>
                </c:pt>
                <c:pt idx="5">
                  <c:v>6.38539933776926E-006</c:v>
                </c:pt>
                <c:pt idx="6">
                  <c:v>2.72218015681377E-006</c:v>
                </c:pt>
                <c:pt idx="7">
                  <c:v>1.25592316798052E-005</c:v>
                </c:pt>
                <c:pt idx="8">
                  <c:v>2.27627366573928E-005</c:v>
                </c:pt>
                <c:pt idx="9">
                  <c:v>4.20473481956956E-005</c:v>
                </c:pt>
                <c:pt idx="10">
                  <c:v>5.25691205881037E-005</c:v>
                </c:pt>
                <c:pt idx="11">
                  <c:v>8.00076659383251E-005</c:v>
                </c:pt>
                <c:pt idx="12">
                  <c:v>0.00140720723617926</c:v>
                </c:pt>
                <c:pt idx="13">
                  <c:v>0.00564731633464689</c:v>
                </c:pt>
                <c:pt idx="14">
                  <c:v>0.0338839648674342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'Length Scale'!M1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Scale'!$M$2:$M$16</c:f>
              <c:numCache>
                <c:formatCode>General</c:formatCode>
                <c:ptCount val="15"/>
                <c:pt idx="0">
                  <c:v>17749.9248318057</c:v>
                </c:pt>
                <c:pt idx="1">
                  <c:v>4436.73109000768</c:v>
                </c:pt>
                <c:pt idx="2">
                  <c:v>9.51896454054524E-006</c:v>
                </c:pt>
                <c:pt idx="3">
                  <c:v>2.54893713174916E-005</c:v>
                </c:pt>
                <c:pt idx="4">
                  <c:v>1.4563468286715E-005</c:v>
                </c:pt>
                <c:pt idx="5">
                  <c:v>6.38609850986201E-006</c:v>
                </c:pt>
                <c:pt idx="6">
                  <c:v>2.72245790510054E-006</c:v>
                </c:pt>
                <c:pt idx="7">
                  <c:v>1.25605914724441E-005</c:v>
                </c:pt>
                <c:pt idx="8">
                  <c:v>2.27651993665991E-005</c:v>
                </c:pt>
                <c:pt idx="9">
                  <c:v>4.20518294622761E-005</c:v>
                </c:pt>
                <c:pt idx="10">
                  <c:v>5.25717327480364E-005</c:v>
                </c:pt>
                <c:pt idx="11">
                  <c:v>7.99943702855884E-005</c:v>
                </c:pt>
                <c:pt idx="12">
                  <c:v>0.00140732682143689</c:v>
                </c:pt>
                <c:pt idx="13">
                  <c:v>0.00564783924358769</c:v>
                </c:pt>
                <c:pt idx="14">
                  <c:v>0.0338868832077409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'Length Scale'!N1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Scale'!$N$2:$N$16</c:f>
              <c:numCache>
                <c:formatCode>General</c:formatCode>
                <c:ptCount val="15"/>
                <c:pt idx="0">
                  <c:v>0.999966211530695</c:v>
                </c:pt>
                <c:pt idx="1">
                  <c:v>0.999797167211144</c:v>
                </c:pt>
                <c:pt idx="2">
                  <c:v>9.51976509890766E-006</c:v>
                </c:pt>
                <c:pt idx="3">
                  <c:v>2.58745480832301E-005</c:v>
                </c:pt>
                <c:pt idx="4">
                  <c:v>1.45794787652617E-005</c:v>
                </c:pt>
                <c:pt idx="5">
                  <c:v>6.38768426005421E-006</c:v>
                </c:pt>
                <c:pt idx="6">
                  <c:v>2.72399810784687E-006</c:v>
                </c:pt>
                <c:pt idx="7">
                  <c:v>1.25639327129974E-005</c:v>
                </c:pt>
                <c:pt idx="8">
                  <c:v>2.27707960718243E-005</c:v>
                </c:pt>
                <c:pt idx="9">
                  <c:v>4.20666703425068E-005</c:v>
                </c:pt>
                <c:pt idx="10">
                  <c:v>5.26409314335398E-005</c:v>
                </c:pt>
                <c:pt idx="11">
                  <c:v>8.0151204455769E-005</c:v>
                </c:pt>
                <c:pt idx="12">
                  <c:v>0.00140620800327125</c:v>
                </c:pt>
                <c:pt idx="13">
                  <c:v>0.00561886495259775</c:v>
                </c:pt>
                <c:pt idx="14">
                  <c:v>0.0327902684936269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'Length Scale'!O1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'Length Scale'!$Q$2:$Q$16</c:f>
              <c:numCache>
                <c:formatCode>General</c:formatCode>
                <c:ptCount val="15"/>
                <c:pt idx="0">
                  <c:v>0.05</c:v>
                </c:pt>
                <c:pt idx="1">
                  <c:v>0.1</c:v>
                </c:pt>
                <c:pt idx="2">
                  <c:v>0.5</c:v>
                </c:pt>
                <c:pt idx="3">
                  <c:v>1</c:v>
                </c:pt>
                <c:pt idx="4">
                  <c:v>2</c:v>
                </c:pt>
                <c:pt idx="5">
                  <c:v>2.5</c:v>
                </c:pt>
                <c:pt idx="6">
                  <c:v>3</c:v>
                </c:pt>
                <c:pt idx="7">
                  <c:v>3.5</c:v>
                </c:pt>
                <c:pt idx="8">
                  <c:v>4</c:v>
                </c:pt>
                <c:pt idx="9">
                  <c:v>5</c:v>
                </c:pt>
                <c:pt idx="10">
                  <c:v>7.5</c:v>
                </c:pt>
                <c:pt idx="11">
                  <c:v>10</c:v>
                </c:pt>
                <c:pt idx="12">
                  <c:v>15</c:v>
                </c:pt>
                <c:pt idx="13">
                  <c:v>20</c:v>
                </c:pt>
                <c:pt idx="14">
                  <c:v>30</c:v>
                </c:pt>
              </c:numCache>
            </c:numRef>
          </c:xVal>
          <c:yVal>
            <c:numRef>
              <c:f>'Length Scale'!$O$2:$O$16</c:f>
              <c:numCache>
                <c:formatCode>General</c:formatCode>
                <c:ptCount val="15"/>
                <c:pt idx="0">
                  <c:v>0.999943658685148</c:v>
                </c:pt>
                <c:pt idx="1">
                  <c:v>0.999774634739444</c:v>
                </c:pt>
                <c:pt idx="2">
                  <c:v>9.51887373166728E-006</c:v>
                </c:pt>
                <c:pt idx="3">
                  <c:v>2.54877754924816E-005</c:v>
                </c:pt>
                <c:pt idx="4">
                  <c:v>1.45632562894668E-005</c:v>
                </c:pt>
                <c:pt idx="5">
                  <c:v>6.38605770004767E-006</c:v>
                </c:pt>
                <c:pt idx="6">
                  <c:v>2.72246296160968E-006</c:v>
                </c:pt>
                <c:pt idx="7">
                  <c:v>1.25607474197743E-005</c:v>
                </c:pt>
                <c:pt idx="8">
                  <c:v>2.27657141623932E-005</c:v>
                </c:pt>
                <c:pt idx="9">
                  <c:v>4.20535841520995E-005</c:v>
                </c:pt>
                <c:pt idx="10">
                  <c:v>5.25741465194883E-005</c:v>
                </c:pt>
                <c:pt idx="11">
                  <c:v>7.99855126018959E-005</c:v>
                </c:pt>
                <c:pt idx="12">
                  <c:v>0.00140534561489598</c:v>
                </c:pt>
                <c:pt idx="13">
                  <c:v>0.00561611469675219</c:v>
                </c:pt>
                <c:pt idx="14">
                  <c:v>0.032776251447031</c:v>
                </c:pt>
              </c:numCache>
            </c:numRef>
          </c:yVal>
          <c:smooth val="0"/>
        </c:ser>
        <c:axId val="31921651"/>
        <c:axId val="35757013"/>
      </c:scatterChart>
      <c:valAx>
        <c:axId val="3192165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Inverse Length Scale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5757013"/>
        <c:crosses val="autoZero"/>
        <c:crossBetween val="midCat"/>
      </c:valAx>
      <c:valAx>
        <c:axId val="35757013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92165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Stencil Nodes: Relative Errors &amp; Residuals vs num_stencil_nodes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'Stencil Nodes'!K1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Nodes'!$Q$2:$Q$10</c:f>
              <c:numCache>
                <c:formatCode>General</c:formatCode>
                <c:ptCount val="9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40</c:v>
                </c:pt>
                <c:pt idx="7">
                  <c:v>50</c:v>
                </c:pt>
                <c:pt idx="8">
                  <c:v>65</c:v>
                </c:pt>
              </c:numCache>
            </c:numRef>
          </c:xVal>
          <c:yVal>
            <c:numRef>
              <c:f>'Stencil Nodes'!$K$2:$K$10</c:f>
              <c:numCache>
                <c:formatCode>General</c:formatCode>
                <c:ptCount val="9"/>
                <c:pt idx="0">
                  <c:v>2.27925495867049E-005</c:v>
                </c:pt>
                <c:pt idx="1">
                  <c:v>2.28213730865648E-005</c:v>
                </c:pt>
                <c:pt idx="2">
                  <c:v>4.16572127875182E-005</c:v>
                </c:pt>
                <c:pt idx="3">
                  <c:v>0.00058572822559901</c:v>
                </c:pt>
                <c:pt idx="4">
                  <c:v>0.00591771511958721</c:v>
                </c:pt>
                <c:pt idx="5">
                  <c:v>0.000239252652452083</c:v>
                </c:pt>
                <c:pt idx="6">
                  <c:v>0.134127626835447</c:v>
                </c:pt>
                <c:pt idx="7">
                  <c:v>0.000563471429009775</c:v>
                </c:pt>
                <c:pt idx="8">
                  <c:v>0.00449143875761691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'Stencil Nodes'!L1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Nodes'!$Q$2:$Q$10</c:f>
              <c:numCache>
                <c:formatCode>General</c:formatCode>
                <c:ptCount val="9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40</c:v>
                </c:pt>
                <c:pt idx="7">
                  <c:v>50</c:v>
                </c:pt>
                <c:pt idx="8">
                  <c:v>65</c:v>
                </c:pt>
              </c:numCache>
            </c:numRef>
          </c:xVal>
          <c:yVal>
            <c:numRef>
              <c:f>'Stencil Nodes'!$L$2:$L$10</c:f>
              <c:numCache>
                <c:formatCode>General</c:formatCode>
                <c:ptCount val="9"/>
                <c:pt idx="0">
                  <c:v>2.27627366573928E-005</c:v>
                </c:pt>
                <c:pt idx="1">
                  <c:v>2.27546227072809E-005</c:v>
                </c:pt>
                <c:pt idx="2">
                  <c:v>4.1574873410162E-005</c:v>
                </c:pt>
                <c:pt idx="3">
                  <c:v>0.000420567881191832</c:v>
                </c:pt>
                <c:pt idx="4">
                  <c:v>0.00227282378076361</c:v>
                </c:pt>
                <c:pt idx="5">
                  <c:v>0.000164412981647859</c:v>
                </c:pt>
                <c:pt idx="6">
                  <c:v>0.0470396146252135</c:v>
                </c:pt>
                <c:pt idx="7">
                  <c:v>0.000385161913689199</c:v>
                </c:pt>
                <c:pt idx="8">
                  <c:v>0.00157613008601473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'Stencil Nodes'!M1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Nodes'!$Q$2:$Q$10</c:f>
              <c:numCache>
                <c:formatCode>General</c:formatCode>
                <c:ptCount val="9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40</c:v>
                </c:pt>
                <c:pt idx="7">
                  <c:v>50</c:v>
                </c:pt>
                <c:pt idx="8">
                  <c:v>65</c:v>
                </c:pt>
              </c:numCache>
            </c:numRef>
          </c:xVal>
          <c:yVal>
            <c:numRef>
              <c:f>'Stencil Nodes'!$M$2:$M$10</c:f>
              <c:numCache>
                <c:formatCode>General</c:formatCode>
                <c:ptCount val="9"/>
                <c:pt idx="0">
                  <c:v>2.27651993665991E-005</c:v>
                </c:pt>
                <c:pt idx="1">
                  <c:v>2.27570167866933E-005</c:v>
                </c:pt>
                <c:pt idx="2">
                  <c:v>4.15983870375453E-005</c:v>
                </c:pt>
                <c:pt idx="3">
                  <c:v>0.000261147346621012</c:v>
                </c:pt>
                <c:pt idx="4">
                  <c:v>0.00226632465088231</c:v>
                </c:pt>
                <c:pt idx="5">
                  <c:v>0.000320700880845067</c:v>
                </c:pt>
                <c:pt idx="6">
                  <c:v>0.0580529408771489</c:v>
                </c:pt>
                <c:pt idx="7">
                  <c:v>0.000390889218895364</c:v>
                </c:pt>
                <c:pt idx="8">
                  <c:v>0.00194087138523071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'Stencil Nodes'!N1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Nodes'!$Q$2:$Q$10</c:f>
              <c:numCache>
                <c:formatCode>General</c:formatCode>
                <c:ptCount val="9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40</c:v>
                </c:pt>
                <c:pt idx="7">
                  <c:v>50</c:v>
                </c:pt>
                <c:pt idx="8">
                  <c:v>65</c:v>
                </c:pt>
              </c:numCache>
            </c:numRef>
          </c:xVal>
          <c:yVal>
            <c:numRef>
              <c:f>'Stencil Nodes'!$N$2:$N$10</c:f>
              <c:numCache>
                <c:formatCode>General</c:formatCode>
                <c:ptCount val="9"/>
                <c:pt idx="0">
                  <c:v>2.27707960718243E-005</c:v>
                </c:pt>
                <c:pt idx="1">
                  <c:v>2.27742671454389E-005</c:v>
                </c:pt>
                <c:pt idx="2">
                  <c:v>4.15889198283367E-005</c:v>
                </c:pt>
                <c:pt idx="3">
                  <c:v>0.000105228218149912</c:v>
                </c:pt>
                <c:pt idx="4">
                  <c:v>0.000121809615280331</c:v>
                </c:pt>
                <c:pt idx="5">
                  <c:v>0.000157282074471519</c:v>
                </c:pt>
                <c:pt idx="6">
                  <c:v>0.000266194247530684</c:v>
                </c:pt>
                <c:pt idx="7">
                  <c:v>0.000345138908318745</c:v>
                </c:pt>
                <c:pt idx="8">
                  <c:v>0.000435318947620226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'Stencil Nodes'!O1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'Stencil Nodes'!$Q$2:$Q$10</c:f>
              <c:numCache>
                <c:formatCode>General</c:formatCode>
                <c:ptCount val="9"/>
                <c:pt idx="0">
                  <c:v>5</c:v>
                </c:pt>
                <c:pt idx="1">
                  <c:v>7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40</c:v>
                </c:pt>
                <c:pt idx="7">
                  <c:v>50</c:v>
                </c:pt>
                <c:pt idx="8">
                  <c:v>65</c:v>
                </c:pt>
              </c:numCache>
            </c:numRef>
          </c:xVal>
          <c:yVal>
            <c:numRef>
              <c:f>'Stencil Nodes'!$O$2:$O$10</c:f>
              <c:numCache>
                <c:formatCode>General</c:formatCode>
                <c:ptCount val="9"/>
                <c:pt idx="0">
                  <c:v>2.27657141623932E-005</c:v>
                </c:pt>
                <c:pt idx="1">
                  <c:v>2.27575435075983E-005</c:v>
                </c:pt>
                <c:pt idx="2">
                  <c:v>4.15810511001986E-005</c:v>
                </c:pt>
                <c:pt idx="3">
                  <c:v>9.6433410720554E-005</c:v>
                </c:pt>
                <c:pt idx="4">
                  <c:v>0.000118848696713411</c:v>
                </c:pt>
                <c:pt idx="5">
                  <c:v>0.000157282703686356</c:v>
                </c:pt>
                <c:pt idx="6">
                  <c:v>0.000249583087833814</c:v>
                </c:pt>
                <c:pt idx="7">
                  <c:v>0.000338248412801661</c:v>
                </c:pt>
                <c:pt idx="8">
                  <c:v>0.000414210720457501</c:v>
                </c:pt>
              </c:numCache>
            </c:numRef>
          </c:yVal>
          <c:smooth val="0"/>
        </c:ser>
        <c:axId val="65482497"/>
        <c:axId val="79072247"/>
      </c:scatterChart>
      <c:valAx>
        <c:axId val="65482497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num_stencil_nodes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072247"/>
        <c:crosses val="autoZero"/>
        <c:crossBetween val="midCat"/>
      </c:valAx>
      <c:valAx>
        <c:axId val="79072247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482497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Center Rings: Relative Errors &amp; Residuals vs num_rings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'Center Rings'!K1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Rings'!$K$2:$K$11</c:f>
              <c:numCache>
                <c:formatCode>General</c:formatCode>
                <c:ptCount val="10"/>
                <c:pt idx="0">
                  <c:v>2.27925495867049E-005</c:v>
                </c:pt>
                <c:pt idx="1">
                  <c:v>2.28061422406938E-005</c:v>
                </c:pt>
                <c:pt idx="2">
                  <c:v>2.27997726305668E-005</c:v>
                </c:pt>
                <c:pt idx="3">
                  <c:v>2.27930906949874E-005</c:v>
                </c:pt>
                <c:pt idx="4">
                  <c:v>2.27859127121185E-005</c:v>
                </c:pt>
                <c:pt idx="5">
                  <c:v>2.27852784658063E-005</c:v>
                </c:pt>
                <c:pt idx="6">
                  <c:v>2.27874752035914E-005</c:v>
                </c:pt>
                <c:pt idx="7">
                  <c:v>2.27912258841539E-005</c:v>
                </c:pt>
                <c:pt idx="8">
                  <c:v>2.27849121028216E-005</c:v>
                </c:pt>
                <c:pt idx="9">
                  <c:v>2.27810556677787E-005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'Center Rings'!L1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Rings'!$L$2:$L$11</c:f>
              <c:numCache>
                <c:formatCode>General</c:formatCode>
                <c:ptCount val="10"/>
                <c:pt idx="0">
                  <c:v>2.27627366573928E-005</c:v>
                </c:pt>
                <c:pt idx="1">
                  <c:v>2.27763592007126E-005</c:v>
                </c:pt>
                <c:pt idx="2">
                  <c:v>2.27661999354035E-005</c:v>
                </c:pt>
                <c:pt idx="3">
                  <c:v>2.27633554889152E-005</c:v>
                </c:pt>
                <c:pt idx="4">
                  <c:v>2.27562699871962E-005</c:v>
                </c:pt>
                <c:pt idx="5">
                  <c:v>2.27554561074191E-005</c:v>
                </c:pt>
                <c:pt idx="6">
                  <c:v>2.27577889052751E-005</c:v>
                </c:pt>
                <c:pt idx="7">
                  <c:v>2.27615689354393E-005</c:v>
                </c:pt>
                <c:pt idx="8">
                  <c:v>2.27554758619426E-005</c:v>
                </c:pt>
                <c:pt idx="9">
                  <c:v>2.27514129684129E-005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'Center Rings'!M1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Rings'!$M$2:$M$11</c:f>
              <c:numCache>
                <c:formatCode>General</c:formatCode>
                <c:ptCount val="10"/>
                <c:pt idx="0">
                  <c:v>2.27651993665991E-005</c:v>
                </c:pt>
                <c:pt idx="1">
                  <c:v>2.27788234788316E-005</c:v>
                </c:pt>
                <c:pt idx="2">
                  <c:v>2.27686583735204E-005</c:v>
                </c:pt>
                <c:pt idx="3">
                  <c:v>2.27658185150808E-005</c:v>
                </c:pt>
                <c:pt idx="4">
                  <c:v>2.27587322792103E-005</c:v>
                </c:pt>
                <c:pt idx="5">
                  <c:v>2.27579180480189E-005</c:v>
                </c:pt>
                <c:pt idx="6">
                  <c:v>2.27602512289028E-005</c:v>
                </c:pt>
                <c:pt idx="7">
                  <c:v>2.27640317893176E-005</c:v>
                </c:pt>
                <c:pt idx="8">
                  <c:v>2.27579390302442E-005</c:v>
                </c:pt>
                <c:pt idx="9">
                  <c:v>2.27538764771491E-005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'Center Rings'!N1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Rings'!$N$2:$N$11</c:f>
              <c:numCache>
                <c:formatCode>General</c:formatCode>
                <c:ptCount val="10"/>
                <c:pt idx="0">
                  <c:v>2.27707960718243E-005</c:v>
                </c:pt>
                <c:pt idx="1">
                  <c:v>2.27847919337136E-005</c:v>
                </c:pt>
                <c:pt idx="2">
                  <c:v>2.27778981619562E-005</c:v>
                </c:pt>
                <c:pt idx="3">
                  <c:v>2.27712979720953E-005</c:v>
                </c:pt>
                <c:pt idx="4">
                  <c:v>2.2764339809247E-005</c:v>
                </c:pt>
                <c:pt idx="5">
                  <c:v>2.2763445102189E-005</c:v>
                </c:pt>
                <c:pt idx="6">
                  <c:v>2.27657914953918E-005</c:v>
                </c:pt>
                <c:pt idx="7">
                  <c:v>2.27697238879993E-005</c:v>
                </c:pt>
                <c:pt idx="8">
                  <c:v>2.27678708587881E-005</c:v>
                </c:pt>
                <c:pt idx="9">
                  <c:v>2.27718904223892E-005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'Center Rings'!O1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'Center Rings'!$Q$2:$Q$11</c:f>
              <c:numCache>
                <c:formatCode>General</c:formatCode>
                <c:ptCount val="10"/>
                <c:pt idx="0">
                  <c:v>5</c:v>
                </c:pt>
                <c:pt idx="1">
                  <c:v>6</c:v>
                </c:pt>
                <c:pt idx="2">
                  <c:v>7</c:v>
                </c:pt>
                <c:pt idx="3">
                  <c:v>8</c:v>
                </c:pt>
                <c:pt idx="4">
                  <c:v>9</c:v>
                </c:pt>
                <c:pt idx="5">
                  <c:v>10</c:v>
                </c:pt>
                <c:pt idx="6">
                  <c:v>11</c:v>
                </c:pt>
                <c:pt idx="7">
                  <c:v>12</c:v>
                </c:pt>
                <c:pt idx="8">
                  <c:v>13</c:v>
                </c:pt>
                <c:pt idx="9">
                  <c:v>14</c:v>
                </c:pt>
              </c:numCache>
            </c:numRef>
          </c:xVal>
          <c:yVal>
            <c:numRef>
              <c:f>'Center Rings'!$O$2:$O$11</c:f>
              <c:numCache>
                <c:formatCode>General</c:formatCode>
                <c:ptCount val="10"/>
                <c:pt idx="0">
                  <c:v>2.27657141623932E-005</c:v>
                </c:pt>
                <c:pt idx="1">
                  <c:v>2.27793389087318E-005</c:v>
                </c:pt>
                <c:pt idx="2">
                  <c:v>2.27691729281315E-005</c:v>
                </c:pt>
                <c:pt idx="3">
                  <c:v>2.27663333674823E-005</c:v>
                </c:pt>
                <c:pt idx="4">
                  <c:v>2.27592468122295E-005</c:v>
                </c:pt>
                <c:pt idx="5">
                  <c:v>2.27584325194026E-005</c:v>
                </c:pt>
                <c:pt idx="6">
                  <c:v>2.27607658570706E-005</c:v>
                </c:pt>
                <c:pt idx="7">
                  <c:v>2.27645465781217E-005</c:v>
                </c:pt>
                <c:pt idx="8">
                  <c:v>2.27584537142219E-005</c:v>
                </c:pt>
                <c:pt idx="9">
                  <c:v>2.27543913198145E-005</c:v>
                </c:pt>
              </c:numCache>
            </c:numRef>
          </c:yVal>
          <c:smooth val="0"/>
        </c:ser>
        <c:axId val="38750240"/>
        <c:axId val="39783056"/>
      </c:scatterChart>
      <c:valAx>
        <c:axId val="38750240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num_rings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9783056"/>
        <c:crosses val="autoZero"/>
        <c:crossBetween val="midCat"/>
      </c:valAx>
      <c:valAx>
        <c:axId val="39783056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750240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Eigenvalue Ratio: Relative Errors &amp; Residuals vs eig_2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'Eigenvalue Ratio'!K1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Ratio'!$K$2:$K$14</c:f>
              <c:numCache>
                <c:formatCode>General</c:formatCode>
                <c:ptCount val="13"/>
                <c:pt idx="0">
                  <c:v>1.17943255262265E-005</c:v>
                </c:pt>
                <c:pt idx="1">
                  <c:v>6.93805463577002E-007</c:v>
                </c:pt>
                <c:pt idx="2">
                  <c:v>1.62352747556098E-005</c:v>
                </c:pt>
                <c:pt idx="3">
                  <c:v>1.93448200186363E-005</c:v>
                </c:pt>
                <c:pt idx="4">
                  <c:v>2.20787967235465E-005</c:v>
                </c:pt>
                <c:pt idx="5">
                  <c:v>2.24373948117319E-005</c:v>
                </c:pt>
                <c:pt idx="6">
                  <c:v>2.27270350234446E-005</c:v>
                </c:pt>
                <c:pt idx="7">
                  <c:v>2.27634144991249E-005</c:v>
                </c:pt>
                <c:pt idx="8">
                  <c:v>2.27925495867049E-005</c:v>
                </c:pt>
                <c:pt idx="9">
                  <c:v>2.27961990048635E-005</c:v>
                </c:pt>
                <c:pt idx="10">
                  <c:v>2.27991548930051E-005</c:v>
                </c:pt>
                <c:pt idx="11">
                  <c:v>2.27995440548973E-005</c:v>
                </c:pt>
                <c:pt idx="12">
                  <c:v>2.27998979607506E-005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'Eigenvalue Ratio'!L1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Ratio'!$L$2:$L$14</c:f>
              <c:numCache>
                <c:formatCode>General</c:formatCode>
                <c:ptCount val="13"/>
                <c:pt idx="0">
                  <c:v>1.17769858181064E-005</c:v>
                </c:pt>
                <c:pt idx="1">
                  <c:v>6.73078005316015E-007</c:v>
                </c:pt>
                <c:pt idx="2">
                  <c:v>1.62062944273488E-005</c:v>
                </c:pt>
                <c:pt idx="3">
                  <c:v>1.93154406295169E-005</c:v>
                </c:pt>
                <c:pt idx="4">
                  <c:v>2.20487417031038E-005</c:v>
                </c:pt>
                <c:pt idx="5">
                  <c:v>2.24073919903919E-005</c:v>
                </c:pt>
                <c:pt idx="6">
                  <c:v>2.26971791030487E-005</c:v>
                </c:pt>
                <c:pt idx="7">
                  <c:v>2.27335838864126E-005</c:v>
                </c:pt>
                <c:pt idx="8">
                  <c:v>2.27627366573928E-005</c:v>
                </c:pt>
                <c:pt idx="9">
                  <c:v>2.27663823366934E-005</c:v>
                </c:pt>
                <c:pt idx="10">
                  <c:v>2.27692995722775E-005</c:v>
                </c:pt>
                <c:pt idx="11">
                  <c:v>2.27696636740895E-005</c:v>
                </c:pt>
                <c:pt idx="12">
                  <c:v>2.27699551639377E-005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'Eigenvalue Ratio'!M1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Ratio'!$M$2:$M$14</c:f>
              <c:numCache>
                <c:formatCode>General</c:formatCode>
                <c:ptCount val="13"/>
                <c:pt idx="0">
                  <c:v>1.17776187477569E-005</c:v>
                </c:pt>
                <c:pt idx="1">
                  <c:v>6.72700321819515E-007</c:v>
                </c:pt>
                <c:pt idx="2">
                  <c:v>1.62078727598907E-005</c:v>
                </c:pt>
                <c:pt idx="3">
                  <c:v>1.93174231608504E-005</c:v>
                </c:pt>
                <c:pt idx="4">
                  <c:v>2.20511025564282E-005</c:v>
                </c:pt>
                <c:pt idx="5">
                  <c:v>2.24098039559781E-005</c:v>
                </c:pt>
                <c:pt idx="6">
                  <c:v>2.26996325000172E-005</c:v>
                </c:pt>
                <c:pt idx="7">
                  <c:v>2.27360424716984E-005</c:v>
                </c:pt>
                <c:pt idx="8">
                  <c:v>2.27651993665991E-005</c:v>
                </c:pt>
                <c:pt idx="9">
                  <c:v>2.27688455529859E-005</c:v>
                </c:pt>
                <c:pt idx="10">
                  <c:v>2.27717631837466E-005</c:v>
                </c:pt>
                <c:pt idx="11">
                  <c:v>2.27721273320206E-005</c:v>
                </c:pt>
                <c:pt idx="12">
                  <c:v>2.27724188570581E-005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'Eigenvalue Ratio'!N1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Ratio'!$N$2:$N$14</c:f>
              <c:numCache>
                <c:formatCode>General</c:formatCode>
                <c:ptCount val="13"/>
                <c:pt idx="0">
                  <c:v>1.17943558583864E-005</c:v>
                </c:pt>
                <c:pt idx="1">
                  <c:v>6.8407403290003E-007</c:v>
                </c:pt>
                <c:pt idx="2">
                  <c:v>1.62164005396556E-005</c:v>
                </c:pt>
                <c:pt idx="3">
                  <c:v>1.93245988132487E-005</c:v>
                </c:pt>
                <c:pt idx="4">
                  <c:v>2.20570267208335E-005</c:v>
                </c:pt>
                <c:pt idx="5">
                  <c:v>2.24155580951781E-005</c:v>
                </c:pt>
                <c:pt idx="6">
                  <c:v>2.27052533555263E-005</c:v>
                </c:pt>
                <c:pt idx="7">
                  <c:v>2.27416488356018E-005</c:v>
                </c:pt>
                <c:pt idx="8">
                  <c:v>2.27707960718243E-005</c:v>
                </c:pt>
                <c:pt idx="9">
                  <c:v>2.27744388651326E-005</c:v>
                </c:pt>
                <c:pt idx="10">
                  <c:v>2.27773529885097E-005</c:v>
                </c:pt>
                <c:pt idx="11">
                  <c:v>2.27777176914724E-005</c:v>
                </c:pt>
                <c:pt idx="12">
                  <c:v>2.27780107320096E-005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'Eigenvalue Ratio'!O1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'Eigenvalue Ratio'!$Q$2:$Q$14</c:f>
              <c:numCache>
                <c:formatCode>General</c:formatCode>
                <c:ptCount val="13"/>
                <c:pt idx="0">
                  <c:v>10</c:v>
                </c:pt>
                <c:pt idx="1">
                  <c:v>5</c:v>
                </c:pt>
                <c:pt idx="2">
                  <c:v>1</c:v>
                </c:pt>
                <c:pt idx="3">
                  <c:v>0.5</c:v>
                </c:pt>
                <c:pt idx="4">
                  <c:v>0.1</c:v>
                </c:pt>
                <c:pt idx="5">
                  <c:v>0.05</c:v>
                </c:pt>
                <c:pt idx="6">
                  <c:v>0.01</c:v>
                </c:pt>
                <c:pt idx="7">
                  <c:v>0.005</c:v>
                </c:pt>
                <c:pt idx="8">
                  <c:v>0.001</c:v>
                </c:pt>
                <c:pt idx="9">
                  <c:v>0.0005</c:v>
                </c:pt>
                <c:pt idx="10">
                  <c:v>0.0001</c:v>
                </c:pt>
                <c:pt idx="11">
                  <c:v>5E-005</c:v>
                </c:pt>
                <c:pt idx="12">
                  <c:v>1E-005</c:v>
                </c:pt>
              </c:numCache>
            </c:numRef>
          </c:xVal>
          <c:yVal>
            <c:numRef>
              <c:f>'Eigenvalue Ratio'!$O$2:$O$14</c:f>
              <c:numCache>
                <c:formatCode>General</c:formatCode>
                <c:ptCount val="13"/>
                <c:pt idx="0">
                  <c:v>1.17774726450754E-005</c:v>
                </c:pt>
                <c:pt idx="1">
                  <c:v>6.72531994404921E-007</c:v>
                </c:pt>
                <c:pt idx="2">
                  <c:v>1.62081296128692E-005</c:v>
                </c:pt>
                <c:pt idx="3">
                  <c:v>1.93177918478526E-005</c:v>
                </c:pt>
                <c:pt idx="4">
                  <c:v>2.20515851954936E-005</c:v>
                </c:pt>
                <c:pt idx="5">
                  <c:v>2.2410302654783E-005</c:v>
                </c:pt>
                <c:pt idx="6">
                  <c:v>2.2700144337441E-005</c:v>
                </c:pt>
                <c:pt idx="7">
                  <c:v>2.27365559600465E-005</c:v>
                </c:pt>
                <c:pt idx="8">
                  <c:v>2.27657141623932E-005</c:v>
                </c:pt>
                <c:pt idx="9">
                  <c:v>2.27693604791389E-005</c:v>
                </c:pt>
                <c:pt idx="10">
                  <c:v>2.27722782351342E-005</c:v>
                </c:pt>
                <c:pt idx="11">
                  <c:v>2.27726424205735E-005</c:v>
                </c:pt>
                <c:pt idx="12">
                  <c:v>2.27729339934571E-005</c:v>
                </c:pt>
              </c:numCache>
            </c:numRef>
          </c:yVal>
          <c:smooth val="0"/>
        </c:ser>
        <c:axId val="47719709"/>
        <c:axId val="60909042"/>
      </c:scatterChart>
      <c:valAx>
        <c:axId val="47719709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eig_2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0909042"/>
        <c:crosses val="autoZero"/>
        <c:crossBetween val="midCat"/>
      </c:valAx>
      <c:valAx>
        <c:axId val="60909042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7719709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Eigenvector Angle: Relative Errors &amp; Residuals vs rad24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Marker"/>
        <c:varyColors val="0"/>
        <c:ser>
          <c:idx val="0"/>
          <c:order val="0"/>
          <c:tx>
            <c:strRef>
              <c:f>'Eigenvector Angle'!K1</c:f>
              <c:strCache>
                <c:ptCount val="1"/>
                <c:pt idx="0">
                  <c:v>u_exact - u max_error_rel</c:v>
                </c:pt>
              </c:strCache>
            </c:strRef>
          </c:tx>
          <c:spPr>
            <a:solidFill>
              <a:srgbClr val="1f77b4"/>
            </a:solidFill>
            <a:ln w="20160">
              <a:solidFill>
                <a:srgbClr val="1f77b4"/>
              </a:solidFill>
              <a:round/>
            </a:ln>
          </c:spPr>
          <c:marker>
            <c:symbol val="circle"/>
            <c:size val="6"/>
            <c:spPr>
              <a:solidFill>
                <a:srgbClr val="1f77b4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Angle'!$K$2:$K$10</c:f>
              <c:numCache>
                <c:formatCode>General</c:formatCode>
                <c:ptCount val="9"/>
                <c:pt idx="0">
                  <c:v>4.22907114409604E-005</c:v>
                </c:pt>
                <c:pt idx="1">
                  <c:v>0.428468740576905</c:v>
                </c:pt>
                <c:pt idx="2">
                  <c:v>0.43723800161245</c:v>
                </c:pt>
                <c:pt idx="3">
                  <c:v>0.358113838495046</c:v>
                </c:pt>
                <c:pt idx="4">
                  <c:v>2.27925495867049E-005</c:v>
                </c:pt>
                <c:pt idx="5">
                  <c:v>0.358116808411827</c:v>
                </c:pt>
                <c:pt idx="6">
                  <c:v>0.437239667287999</c:v>
                </c:pt>
                <c:pt idx="7">
                  <c:v>0.428468988385372</c:v>
                </c:pt>
                <c:pt idx="8">
                  <c:v>4.22907114409604E-005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'Eigenvector Angle'!L1</c:f>
              <c:strCache>
                <c:ptCount val="1"/>
                <c:pt idx="0">
                  <c:v>u_exact - u l2_error_rel</c:v>
                </c:pt>
              </c:strCache>
            </c:strRef>
          </c:tx>
          <c:spPr>
            <a:solidFill>
              <a:srgbClr val="ff7f0e"/>
            </a:solidFill>
            <a:ln w="20160">
              <a:solidFill>
                <a:srgbClr val="ff7f0e"/>
              </a:solidFill>
              <a:round/>
            </a:ln>
          </c:spPr>
          <c:marker>
            <c:symbol val="circle"/>
            <c:size val="6"/>
            <c:spPr>
              <a:solidFill>
                <a:srgbClr val="ff7f0e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Angle'!$L$2:$L$10</c:f>
              <c:numCache>
                <c:formatCode>General</c:formatCode>
                <c:ptCount val="9"/>
                <c:pt idx="0">
                  <c:v>4.22856899299179E-005</c:v>
                </c:pt>
                <c:pt idx="1">
                  <c:v>0.370747550572205</c:v>
                </c:pt>
                <c:pt idx="2">
                  <c:v>0.382409739033405</c:v>
                </c:pt>
                <c:pt idx="3">
                  <c:v>0.318493683023698</c:v>
                </c:pt>
                <c:pt idx="4">
                  <c:v>2.27627366573928E-005</c:v>
                </c:pt>
                <c:pt idx="5">
                  <c:v>0.318493682991913</c:v>
                </c:pt>
                <c:pt idx="6">
                  <c:v>0.3824097390354</c:v>
                </c:pt>
                <c:pt idx="7">
                  <c:v>0.370747550612324</c:v>
                </c:pt>
                <c:pt idx="8">
                  <c:v>4.2285689929931E-005</c:v>
                </c:pt>
              </c:numCache>
            </c:numRef>
          </c:yVal>
          <c:smooth val="0"/>
        </c:ser>
        <c:ser>
          <c:idx val="2"/>
          <c:order val="2"/>
          <c:tx>
            <c:strRef>
              <c:f>'Eigenvector Angle'!M1</c:f>
              <c:strCache>
                <c:ptCount val="1"/>
                <c:pt idx="0">
                  <c:v>energy_error_rel</c:v>
                </c:pt>
              </c:strCache>
            </c:strRef>
          </c:tx>
          <c:spPr>
            <a:solidFill>
              <a:srgbClr val="2ca02c"/>
            </a:solidFill>
            <a:ln w="20160">
              <a:solidFill>
                <a:srgbClr val="2ca02c"/>
              </a:solidFill>
              <a:round/>
            </a:ln>
          </c:spPr>
          <c:marker>
            <c:symbol val="circle"/>
            <c:size val="6"/>
            <c:spPr>
              <a:solidFill>
                <a:srgbClr val="2ca02c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Angle'!$M$2:$M$10</c:f>
              <c:numCache>
                <c:formatCode>General</c:formatCode>
                <c:ptCount val="9"/>
                <c:pt idx="0">
                  <c:v>4.22859892663313E-005</c:v>
                </c:pt>
                <c:pt idx="1">
                  <c:v>0.512888771216489</c:v>
                </c:pt>
                <c:pt idx="2">
                  <c:v>0.422087271407863</c:v>
                </c:pt>
                <c:pt idx="3">
                  <c:v>0.297172949411881</c:v>
                </c:pt>
                <c:pt idx="4">
                  <c:v>2.27651993665991E-005</c:v>
                </c:pt>
                <c:pt idx="5">
                  <c:v>0.297172944335218</c:v>
                </c:pt>
                <c:pt idx="6">
                  <c:v>0.422087266796728</c:v>
                </c:pt>
                <c:pt idx="7">
                  <c:v>0.512888769445029</c:v>
                </c:pt>
                <c:pt idx="8">
                  <c:v>4.22859892663441E-005</c:v>
                </c:pt>
              </c:numCache>
            </c:numRef>
          </c:yVal>
          <c:smooth val="0"/>
        </c:ser>
        <c:ser>
          <c:idx val="3"/>
          <c:order val="3"/>
          <c:tx>
            <c:strRef>
              <c:f>'Eigenvector Angle'!N1</c:f>
              <c:strCache>
                <c:ptCount val="1"/>
                <c:pt idx="0">
                  <c:v>Lu_exact - F max_residual_rel</c:v>
                </c:pt>
              </c:strCache>
            </c:strRef>
          </c:tx>
          <c:spPr>
            <a:solidFill>
              <a:srgbClr val="d62728"/>
            </a:solidFill>
            <a:ln w="20160">
              <a:solidFill>
                <a:srgbClr val="d62728"/>
              </a:solidFill>
              <a:round/>
            </a:ln>
          </c:spPr>
          <c:marker>
            <c:symbol val="circle"/>
            <c:size val="6"/>
            <c:spPr>
              <a:solidFill>
                <a:srgbClr val="d62728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Angle'!$N$2:$N$10</c:f>
              <c:numCache>
                <c:formatCode>General</c:formatCode>
                <c:ptCount val="9"/>
                <c:pt idx="0">
                  <c:v>4.23214752969209E-005</c:v>
                </c:pt>
                <c:pt idx="1">
                  <c:v>0.863257376521345</c:v>
                </c:pt>
                <c:pt idx="2">
                  <c:v>0.598873506182812</c:v>
                </c:pt>
                <c:pt idx="3">
                  <c:v>0.370666442164609</c:v>
                </c:pt>
                <c:pt idx="4">
                  <c:v>2.27707960718243E-005</c:v>
                </c:pt>
                <c:pt idx="5">
                  <c:v>0.370666437067971</c:v>
                </c:pt>
                <c:pt idx="6">
                  <c:v>0.598873478799252</c:v>
                </c:pt>
                <c:pt idx="7">
                  <c:v>0.86325735871109</c:v>
                </c:pt>
                <c:pt idx="8">
                  <c:v>4.23214752969209E-005</c:v>
                </c:pt>
              </c:numCache>
            </c:numRef>
          </c:yVal>
          <c:smooth val="0"/>
        </c:ser>
        <c:ser>
          <c:idx val="4"/>
          <c:order val="4"/>
          <c:tx>
            <c:strRef>
              <c:f>'Eigenvector Angle'!O1</c:f>
              <c:strCache>
                <c:ptCount val="1"/>
                <c:pt idx="0">
                  <c:v>Lu_exact - F l2_residual_rel</c:v>
                </c:pt>
              </c:strCache>
            </c:strRef>
          </c:tx>
          <c:spPr>
            <a:solidFill>
              <a:srgbClr val="9467bd"/>
            </a:solidFill>
            <a:ln w="20160">
              <a:solidFill>
                <a:srgbClr val="9467bd"/>
              </a:solidFill>
              <a:round/>
            </a:ln>
          </c:spPr>
          <c:marker>
            <c:symbol val="circle"/>
            <c:size val="6"/>
            <c:spPr>
              <a:solidFill>
                <a:srgbClr val="9467bd"/>
              </a:solidFill>
            </c:spPr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'Eigenvector Angle'!$Q$2:$Q$10</c:f>
              <c:numCache>
                <c:formatCode>General</c:formatCode>
                <c:ptCount val="9"/>
                <c:pt idx="0">
                  <c:v>0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12</c:v>
                </c:pt>
                <c:pt idx="5">
                  <c:v>16</c:v>
                </c:pt>
                <c:pt idx="6">
                  <c:v>18</c:v>
                </c:pt>
                <c:pt idx="7">
                  <c:v>20</c:v>
                </c:pt>
                <c:pt idx="8">
                  <c:v>24</c:v>
                </c:pt>
              </c:numCache>
            </c:numRef>
          </c:xVal>
          <c:yVal>
            <c:numRef>
              <c:f>'Eigenvector Angle'!$O$2:$O$10</c:f>
              <c:numCache>
                <c:formatCode>General</c:formatCode>
                <c:ptCount val="9"/>
                <c:pt idx="0">
                  <c:v>4.22842026023214E-005</c:v>
                </c:pt>
                <c:pt idx="1">
                  <c:v>0.651896394450092</c:v>
                </c:pt>
                <c:pt idx="2">
                  <c:v>0.512221130809046</c:v>
                </c:pt>
                <c:pt idx="3">
                  <c:v>0.346299644661458</c:v>
                </c:pt>
                <c:pt idx="4">
                  <c:v>2.27657141623932E-005</c:v>
                </c:pt>
                <c:pt idx="5">
                  <c:v>0.346299644959822</c:v>
                </c:pt>
                <c:pt idx="6">
                  <c:v>0.512221131639209</c:v>
                </c:pt>
                <c:pt idx="7">
                  <c:v>0.651896396421051</c:v>
                </c:pt>
                <c:pt idx="8">
                  <c:v>4.22842026023214E-005</c:v>
                </c:pt>
              </c:numCache>
            </c:numRef>
          </c:yVal>
          <c:smooth val="0"/>
        </c:ser>
        <c:axId val="59329561"/>
        <c:axId val="79586127"/>
      </c:scatterChart>
      <c:valAx>
        <c:axId val="59329561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rad24 (varied value)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9586127"/>
        <c:crosses val="autoZero"/>
        <c:crossBetween val="midCat"/>
      </c:valAx>
      <c:valAx>
        <c:axId val="79586127"/>
        <c:scaling>
          <c:logBase val="10"/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Relative Error / Residual (log scale)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329561"/>
        <c:crosses val="autoZero"/>
        <c:crossBetween val="midCat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4.xml"/>
</Relationships>
</file>

<file path=xl/drawings/_rels/drawing5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_rels/drawing6.xml.rels><?xml version="1.0" encoding="UTF-8"?>
<Relationships xmlns="http://schemas.openxmlformats.org/package/2006/relationships"><Relationship Id="rId1" Type="http://schemas.openxmlformats.org/officeDocument/2006/relationships/chart" Target="../charts/chart6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0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1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2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3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4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18</xdr:col>
      <xdr:colOff>0</xdr:colOff>
      <xdr:row>1</xdr:row>
      <xdr:rowOff>0</xdr:rowOff>
    </xdr:from>
    <xdr:to>
      <xdr:col>30</xdr:col>
      <xdr:colOff>581400</xdr:colOff>
      <xdr:row>23</xdr:row>
      <xdr:rowOff>128520</xdr:rowOff>
    </xdr:to>
    <xdr:graphicFrame>
      <xdr:nvGraphicFramePr>
        <xdr:cNvPr id="5" name="Chart 1"/>
        <xdr:cNvGraphicFramePr/>
      </xdr:nvGraphicFramePr>
      <xdr:xfrm>
        <a:off x="11007000" y="190440"/>
        <a:ext cx="791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20</v>
      </c>
      <c r="B2" s="0" t="n">
        <v>20</v>
      </c>
      <c r="C2" s="0" t="n">
        <v>4</v>
      </c>
      <c r="D2" s="0" t="n">
        <v>5</v>
      </c>
      <c r="E2" s="0" t="n">
        <v>5</v>
      </c>
      <c r="F2" s="0" t="n">
        <v>1</v>
      </c>
      <c r="G2" s="0" t="n">
        <v>0.001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0.0126449157749723</v>
      </c>
      <c r="L2" s="0" t="n">
        <v>0.0126270248389058</v>
      </c>
      <c r="M2" s="0" t="n">
        <v>0.0126283402350269</v>
      </c>
      <c r="N2" s="0" t="n">
        <v>0.0127927946652633</v>
      </c>
      <c r="O2" s="0" t="n">
        <v>0.0127898887517432</v>
      </c>
      <c r="P2" s="0" t="s">
        <v>17</v>
      </c>
      <c r="Q2" s="0" t="n">
        <v>20</v>
      </c>
    </row>
    <row r="3" customFormat="false" ht="15" hidden="false" customHeight="false" outlineLevel="0" collapsed="false">
      <c r="A3" s="0" t="n">
        <v>30</v>
      </c>
      <c r="B3" s="0" t="n">
        <v>30</v>
      </c>
      <c r="C3" s="0" t="n">
        <v>4</v>
      </c>
      <c r="D3" s="0" t="n">
        <v>5</v>
      </c>
      <c r="E3" s="0" t="n">
        <v>5</v>
      </c>
      <c r="F3" s="0" t="n">
        <v>1</v>
      </c>
      <c r="G3" s="0" t="n">
        <v>0.001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0.00586967220395059</v>
      </c>
      <c r="L3" s="0" t="n">
        <v>0.00587572963824851</v>
      </c>
      <c r="M3" s="0" t="n">
        <v>0.00587635410066752</v>
      </c>
      <c r="N3" s="0" t="n">
        <v>0.00597247046421291</v>
      </c>
      <c r="O3" s="0" t="n">
        <v>0.00591109691465448</v>
      </c>
      <c r="P3" s="0" t="s">
        <v>17</v>
      </c>
      <c r="Q3" s="0" t="n">
        <v>30</v>
      </c>
    </row>
    <row r="4" customFormat="false" ht="15" hidden="false" customHeight="false" outlineLevel="0" collapsed="false">
      <c r="A4" s="0" t="n">
        <v>50</v>
      </c>
      <c r="B4" s="0" t="n">
        <v>50</v>
      </c>
      <c r="C4" s="0" t="n">
        <v>4</v>
      </c>
      <c r="D4" s="0" t="n">
        <v>5</v>
      </c>
      <c r="E4" s="0" t="n">
        <v>5</v>
      </c>
      <c r="F4" s="0" t="n">
        <v>1</v>
      </c>
      <c r="G4" s="0" t="n">
        <v>0.001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0.00218993301843936</v>
      </c>
      <c r="L4" s="0" t="n">
        <v>0.0021870292017585</v>
      </c>
      <c r="M4" s="0" t="n">
        <v>0.00218726424728502</v>
      </c>
      <c r="N4" s="0" t="n">
        <v>0.00219254161409891</v>
      </c>
      <c r="O4" s="0" t="n">
        <v>0.00219205967417199</v>
      </c>
      <c r="P4" s="0" t="s">
        <v>17</v>
      </c>
      <c r="Q4" s="0" t="n">
        <v>50</v>
      </c>
    </row>
    <row r="5" customFormat="false" ht="15" hidden="false" customHeight="false" outlineLevel="0" collapsed="false">
      <c r="A5" s="0" t="n">
        <v>75</v>
      </c>
      <c r="B5" s="0" t="n">
        <v>75</v>
      </c>
      <c r="C5" s="0" t="n">
        <v>4</v>
      </c>
      <c r="D5" s="0" t="n">
        <v>5</v>
      </c>
      <c r="E5" s="0" t="n">
        <v>5</v>
      </c>
      <c r="F5" s="0" t="n">
        <v>1</v>
      </c>
      <c r="G5" s="0" t="n">
        <v>0.001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0.000989319827130397</v>
      </c>
      <c r="L5" s="0" t="n">
        <v>0.000987184200448652</v>
      </c>
      <c r="M5" s="0" t="n">
        <v>0.000987290694492043</v>
      </c>
      <c r="N5" s="0" t="n">
        <v>0.000988480257783356</v>
      </c>
      <c r="O5" s="0" t="n">
        <v>0.000988266481492478</v>
      </c>
      <c r="P5" s="0" t="s">
        <v>17</v>
      </c>
      <c r="Q5" s="0" t="n">
        <v>75</v>
      </c>
    </row>
    <row r="6" customFormat="false" ht="15" hidden="false" customHeight="false" outlineLevel="0" collapsed="false">
      <c r="A6" s="0" t="n">
        <v>100</v>
      </c>
      <c r="B6" s="0" t="n">
        <v>100</v>
      </c>
      <c r="C6" s="0" t="n">
        <v>4</v>
      </c>
      <c r="D6" s="0" t="n">
        <v>5</v>
      </c>
      <c r="E6" s="0" t="n">
        <v>5</v>
      </c>
      <c r="F6" s="0" t="n">
        <v>1</v>
      </c>
      <c r="G6" s="0" t="n">
        <v>0.001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0.00055962609967628</v>
      </c>
      <c r="L6" s="0" t="n">
        <v>0.00055943342511779</v>
      </c>
      <c r="M6" s="0" t="n">
        <v>0.000559493853936262</v>
      </c>
      <c r="N6" s="0" t="n">
        <v>0.000560356024629184</v>
      </c>
      <c r="O6" s="0" t="n">
        <v>0.000559807051811444</v>
      </c>
      <c r="P6" s="0" t="s">
        <v>17</v>
      </c>
      <c r="Q6" s="0" t="n">
        <v>100</v>
      </c>
    </row>
    <row r="7" customFormat="false" ht="15" hidden="false" customHeight="false" outlineLevel="0" collapsed="false">
      <c r="A7" s="0" t="n">
        <v>125</v>
      </c>
      <c r="B7" s="0" t="n">
        <v>125</v>
      </c>
      <c r="C7" s="0" t="n">
        <v>4</v>
      </c>
      <c r="D7" s="0" t="n">
        <v>5</v>
      </c>
      <c r="E7" s="0" t="n">
        <v>5</v>
      </c>
      <c r="F7" s="0" t="n">
        <v>1</v>
      </c>
      <c r="G7" s="0" t="n">
        <v>0.001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0.000360069719785063</v>
      </c>
      <c r="L7" s="0" t="n">
        <v>0.000359600767644341</v>
      </c>
      <c r="M7" s="0" t="n">
        <v>0.000359639635586522</v>
      </c>
      <c r="N7" s="0" t="n">
        <v>0.000359846833977281</v>
      </c>
      <c r="O7" s="0" t="n">
        <v>0.000359768998007663</v>
      </c>
      <c r="P7" s="0" t="s">
        <v>17</v>
      </c>
      <c r="Q7" s="0" t="n">
        <v>125</v>
      </c>
    </row>
    <row r="8" customFormat="false" ht="15" hidden="false" customHeight="false" outlineLevel="0" collapsed="false">
      <c r="A8" s="0" t="n">
        <v>150</v>
      </c>
      <c r="B8" s="0" t="n">
        <v>150</v>
      </c>
      <c r="C8" s="0" t="n">
        <v>4</v>
      </c>
      <c r="D8" s="0" t="n">
        <v>5</v>
      </c>
      <c r="E8" s="0" t="n">
        <v>5</v>
      </c>
      <c r="F8" s="0" t="n">
        <v>1</v>
      </c>
      <c r="G8" s="0" t="n">
        <v>0.001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0.000250657526729051</v>
      </c>
      <c r="L8" s="0" t="n">
        <v>0.000250438392124019</v>
      </c>
      <c r="M8" s="0" t="n">
        <v>0.000250465470317173</v>
      </c>
      <c r="N8" s="0" t="n">
        <v>0.000250640056534901</v>
      </c>
      <c r="O8" s="0" t="n">
        <v>0.000250528195034042</v>
      </c>
      <c r="P8" s="0" t="s">
        <v>17</v>
      </c>
      <c r="Q8" s="0" t="n">
        <v>150</v>
      </c>
    </row>
    <row r="9" customFormat="false" ht="15" hidden="false" customHeight="false" outlineLevel="0" collapsed="false">
      <c r="A9" s="0" t="n">
        <v>175</v>
      </c>
      <c r="B9" s="0" t="n">
        <v>175</v>
      </c>
      <c r="C9" s="0" t="n">
        <v>4</v>
      </c>
      <c r="D9" s="0" t="n">
        <v>5</v>
      </c>
      <c r="E9" s="0" t="n">
        <v>5</v>
      </c>
      <c r="F9" s="0" t="n">
        <v>1</v>
      </c>
      <c r="G9" s="0" t="n">
        <v>0.001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0.000184637574857689</v>
      </c>
      <c r="L9" s="0" t="n">
        <v>0.000184367952231269</v>
      </c>
      <c r="M9" s="0" t="n">
        <v>0.000184387890793706</v>
      </c>
      <c r="N9" s="0" t="n">
        <v>0.000184461782374538</v>
      </c>
      <c r="O9" s="0" t="n">
        <v>0.00018442187539208</v>
      </c>
      <c r="P9" s="0" t="s">
        <v>17</v>
      </c>
      <c r="Q9" s="0" t="n">
        <v>175</v>
      </c>
    </row>
    <row r="10" customFormat="false" ht="15" hidden="false" customHeight="false" outlineLevel="0" collapsed="false">
      <c r="A10" s="0" t="n">
        <v>200</v>
      </c>
      <c r="B10" s="0" t="n">
        <v>200</v>
      </c>
      <c r="C10" s="0" t="n">
        <v>4</v>
      </c>
      <c r="D10" s="0" t="n">
        <v>5</v>
      </c>
      <c r="E10" s="0" t="n">
        <v>5</v>
      </c>
      <c r="F10" s="0" t="n">
        <v>1</v>
      </c>
      <c r="G10" s="0" t="n">
        <v>0.001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0.000141554422406327</v>
      </c>
      <c r="L10" s="0" t="n">
        <v>0.000141369768301344</v>
      </c>
      <c r="M10" s="0" t="n">
        <v>0.000141385058787778</v>
      </c>
      <c r="N10" s="0" t="n">
        <v>0.000141435752282808</v>
      </c>
      <c r="O10" s="0" t="n">
        <v>0.000141405034170046</v>
      </c>
      <c r="P10" s="0" t="s">
        <v>17</v>
      </c>
      <c r="Q10" s="0" t="n">
        <v>200</v>
      </c>
    </row>
    <row r="11" customFormat="false" ht="15" hidden="false" customHeight="false" outlineLevel="0" collapsed="false">
      <c r="A11" s="0" t="n">
        <v>250</v>
      </c>
      <c r="B11" s="0" t="n">
        <v>250</v>
      </c>
      <c r="C11" s="0" t="n">
        <v>4</v>
      </c>
      <c r="D11" s="0" t="n">
        <v>5</v>
      </c>
      <c r="E11" s="0" t="n">
        <v>5</v>
      </c>
      <c r="F11" s="0" t="n">
        <v>1</v>
      </c>
      <c r="G11" s="0" t="n">
        <v>0.001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9.07704485438301E-005</v>
      </c>
      <c r="L11" s="0" t="n">
        <v>9.06662769658863E-005</v>
      </c>
      <c r="M11" s="0" t="n">
        <v>9.06760849423497E-005</v>
      </c>
      <c r="N11" s="0" t="n">
        <v>9.07039752582021E-005</v>
      </c>
      <c r="O11" s="0" t="n">
        <v>9.06842956792701E-005</v>
      </c>
      <c r="P11" s="0" t="s">
        <v>17</v>
      </c>
      <c r="Q11" s="0" t="n">
        <v>250</v>
      </c>
    </row>
    <row r="12" customFormat="false" ht="15" hidden="false" customHeight="false" outlineLevel="0" collapsed="false">
      <c r="A12" s="0" t="n">
        <v>500</v>
      </c>
      <c r="B12" s="0" t="n">
        <v>500</v>
      </c>
      <c r="C12" s="0" t="n">
        <v>4</v>
      </c>
      <c r="D12" s="0" t="n">
        <v>5</v>
      </c>
      <c r="E12" s="0" t="n">
        <v>5</v>
      </c>
      <c r="F12" s="0" t="n">
        <v>1</v>
      </c>
      <c r="G12" s="0" t="n">
        <v>0.001</v>
      </c>
      <c r="H12" s="0" t="n">
        <v>12</v>
      </c>
      <c r="I12" s="1" t="b">
        <f aca="false">FALSE()</f>
        <v>0</v>
      </c>
      <c r="J12" s="1" t="b">
        <f aca="false">TRUE()</f>
        <v>1</v>
      </c>
      <c r="K12" s="0" t="n">
        <v>2.27925495867049E-005</v>
      </c>
      <c r="L12" s="0" t="n">
        <v>2.27627366573928E-005</v>
      </c>
      <c r="M12" s="0" t="n">
        <v>2.27651993665991E-005</v>
      </c>
      <c r="N12" s="0" t="n">
        <v>2.27707960718243E-005</v>
      </c>
      <c r="O12" s="0" t="n">
        <v>2.27657141623932E-005</v>
      </c>
      <c r="P12" s="0" t="s">
        <v>17</v>
      </c>
      <c r="Q12" s="0" t="n">
        <v>500</v>
      </c>
    </row>
    <row r="13" customFormat="false" ht="15" hidden="false" customHeight="false" outlineLevel="0" collapsed="false">
      <c r="A13" s="0" t="n">
        <v>750</v>
      </c>
      <c r="B13" s="0" t="n">
        <v>750</v>
      </c>
      <c r="C13" s="0" t="n">
        <v>4</v>
      </c>
      <c r="D13" s="0" t="n">
        <v>5</v>
      </c>
      <c r="E13" s="0" t="n">
        <v>5</v>
      </c>
      <c r="F13" s="0" t="n">
        <v>1</v>
      </c>
      <c r="G13" s="0" t="n">
        <v>0.001</v>
      </c>
      <c r="H13" s="0" t="n">
        <v>12</v>
      </c>
      <c r="I13" s="1" t="b">
        <f aca="false">FALSE()</f>
        <v>0</v>
      </c>
      <c r="J13" s="1" t="b">
        <f aca="false">TRUE()</f>
        <v>1</v>
      </c>
      <c r="K13" s="0" t="n">
        <v>1.01058635240171E-005</v>
      </c>
      <c r="L13" s="0" t="n">
        <v>1.00937194678216E-005</v>
      </c>
      <c r="M13" s="0" t="n">
        <v>1.00948129555364E-005</v>
      </c>
      <c r="N13" s="0" t="n">
        <v>1.00977895548577E-005</v>
      </c>
      <c r="O13" s="0" t="n">
        <v>1.00949133968354E-005</v>
      </c>
      <c r="P13" s="0" t="s">
        <v>17</v>
      </c>
      <c r="Q13" s="0" t="n">
        <v>750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500</v>
      </c>
      <c r="B2" s="0" t="n">
        <v>500</v>
      </c>
      <c r="C2" s="0" t="n">
        <v>0.05</v>
      </c>
      <c r="D2" s="0" t="n">
        <v>5</v>
      </c>
      <c r="E2" s="0" t="n">
        <v>5</v>
      </c>
      <c r="F2" s="0" t="n">
        <v>1</v>
      </c>
      <c r="G2" s="0" t="n">
        <v>0.001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17741.8060315819</v>
      </c>
      <c r="L2" s="0" t="n">
        <v>17747.9620807749</v>
      </c>
      <c r="M2" s="0" t="n">
        <v>17749.9248318057</v>
      </c>
      <c r="N2" s="0" t="n">
        <v>0.999966211530695</v>
      </c>
      <c r="O2" s="0" t="n">
        <v>0.999943658685148</v>
      </c>
      <c r="P2" s="0" t="s">
        <v>18</v>
      </c>
      <c r="Q2" s="0" t="n">
        <v>0.05</v>
      </c>
    </row>
    <row r="3" customFormat="false" ht="15" hidden="false" customHeight="false" outlineLevel="0" collapsed="false">
      <c r="A3" s="0" t="n">
        <v>500</v>
      </c>
      <c r="B3" s="0" t="n">
        <v>500</v>
      </c>
      <c r="C3" s="0" t="n">
        <v>0.1</v>
      </c>
      <c r="D3" s="0" t="n">
        <v>5</v>
      </c>
      <c r="E3" s="0" t="n">
        <v>5</v>
      </c>
      <c r="F3" s="0" t="n">
        <v>1</v>
      </c>
      <c r="G3" s="0" t="n">
        <v>0.001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4434.7014442247</v>
      </c>
      <c r="L3" s="0" t="n">
        <v>4436.24049260255</v>
      </c>
      <c r="M3" s="0" t="n">
        <v>4436.73109000768</v>
      </c>
      <c r="N3" s="0" t="n">
        <v>0.999797167211144</v>
      </c>
      <c r="O3" s="0" t="n">
        <v>0.999774634739444</v>
      </c>
      <c r="P3" s="0" t="s">
        <v>18</v>
      </c>
      <c r="Q3" s="0" t="n">
        <v>0.1</v>
      </c>
    </row>
    <row r="4" customFormat="false" ht="15" hidden="false" customHeight="false" outlineLevel="0" collapsed="false">
      <c r="A4" s="0" t="n">
        <v>500</v>
      </c>
      <c r="B4" s="0" t="n">
        <v>500</v>
      </c>
      <c r="C4" s="0" t="n">
        <v>0.5</v>
      </c>
      <c r="D4" s="0" t="n">
        <v>5</v>
      </c>
      <c r="E4" s="0" t="n">
        <v>5</v>
      </c>
      <c r="F4" s="0" t="n">
        <v>1</v>
      </c>
      <c r="G4" s="0" t="n">
        <v>0.001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9.51919488014213E-006</v>
      </c>
      <c r="L4" s="0" t="n">
        <v>9.51792325241975E-006</v>
      </c>
      <c r="M4" s="0" t="n">
        <v>9.51896454054524E-006</v>
      </c>
      <c r="N4" s="0" t="n">
        <v>9.51976509890766E-006</v>
      </c>
      <c r="O4" s="0" t="n">
        <v>9.51887373166728E-006</v>
      </c>
      <c r="P4" s="0" t="s">
        <v>18</v>
      </c>
      <c r="Q4" s="0" t="n">
        <v>0.5</v>
      </c>
    </row>
    <row r="5" customFormat="false" ht="15" hidden="false" customHeight="false" outlineLevel="0" collapsed="false">
      <c r="A5" s="0" t="n">
        <v>500</v>
      </c>
      <c r="B5" s="0" t="n">
        <v>500</v>
      </c>
      <c r="C5" s="0" t="n">
        <v>1</v>
      </c>
      <c r="D5" s="0" t="n">
        <v>5</v>
      </c>
      <c r="E5" s="0" t="n">
        <v>5</v>
      </c>
      <c r="F5" s="0" t="n">
        <v>1</v>
      </c>
      <c r="G5" s="0" t="n">
        <v>0.001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2.65448399958965E-005</v>
      </c>
      <c r="L5" s="0" t="n">
        <v>2.54969293337932E-005</v>
      </c>
      <c r="M5" s="0" t="n">
        <v>2.54893713174916E-005</v>
      </c>
      <c r="N5" s="0" t="n">
        <v>2.58745480832301E-005</v>
      </c>
      <c r="O5" s="0" t="n">
        <v>2.54877754924816E-005</v>
      </c>
      <c r="P5" s="0" t="s">
        <v>18</v>
      </c>
      <c r="Q5" s="0" t="n">
        <v>1</v>
      </c>
    </row>
    <row r="6" customFormat="false" ht="15" hidden="false" customHeight="false" outlineLevel="0" collapsed="false">
      <c r="A6" s="0" t="n">
        <v>500</v>
      </c>
      <c r="B6" s="0" t="n">
        <v>500</v>
      </c>
      <c r="C6" s="0" t="n">
        <v>2</v>
      </c>
      <c r="D6" s="0" t="n">
        <v>5</v>
      </c>
      <c r="E6" s="0" t="n">
        <v>5</v>
      </c>
      <c r="F6" s="0" t="n">
        <v>1</v>
      </c>
      <c r="G6" s="0" t="n">
        <v>0.001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1.4556860680757E-005</v>
      </c>
      <c r="L6" s="0" t="n">
        <v>1.45618717425119E-005</v>
      </c>
      <c r="M6" s="0" t="n">
        <v>1.4563468286715E-005</v>
      </c>
      <c r="N6" s="0" t="n">
        <v>1.45794787652617E-005</v>
      </c>
      <c r="O6" s="0" t="n">
        <v>1.45632562894668E-005</v>
      </c>
      <c r="P6" s="0" t="s">
        <v>18</v>
      </c>
      <c r="Q6" s="0" t="n">
        <v>2</v>
      </c>
    </row>
    <row r="7" customFormat="false" ht="15" hidden="false" customHeight="false" outlineLevel="0" collapsed="false">
      <c r="A7" s="0" t="n">
        <v>500</v>
      </c>
      <c r="B7" s="0" t="n">
        <v>500</v>
      </c>
      <c r="C7" s="0" t="n">
        <v>2.5</v>
      </c>
      <c r="D7" s="0" t="n">
        <v>5</v>
      </c>
      <c r="E7" s="0" t="n">
        <v>5</v>
      </c>
      <c r="F7" s="0" t="n">
        <v>1</v>
      </c>
      <c r="G7" s="0" t="n">
        <v>0.001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6.38576405976792E-006</v>
      </c>
      <c r="L7" s="0" t="n">
        <v>6.38539933776926E-006</v>
      </c>
      <c r="M7" s="0" t="n">
        <v>6.38609850986201E-006</v>
      </c>
      <c r="N7" s="0" t="n">
        <v>6.38768426005421E-006</v>
      </c>
      <c r="O7" s="0" t="n">
        <v>6.38605770004767E-006</v>
      </c>
      <c r="P7" s="0" t="s">
        <v>18</v>
      </c>
      <c r="Q7" s="0" t="n">
        <v>2.5</v>
      </c>
    </row>
    <row r="8" customFormat="false" ht="15" hidden="false" customHeight="false" outlineLevel="0" collapsed="false">
      <c r="A8" s="0" t="n">
        <v>500</v>
      </c>
      <c r="B8" s="0" t="n">
        <v>500</v>
      </c>
      <c r="C8" s="0" t="n">
        <v>3</v>
      </c>
      <c r="D8" s="0" t="n">
        <v>5</v>
      </c>
      <c r="E8" s="0" t="n">
        <v>5</v>
      </c>
      <c r="F8" s="0" t="n">
        <v>1</v>
      </c>
      <c r="G8" s="0" t="n">
        <v>0.001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2.73229873900344E-006</v>
      </c>
      <c r="L8" s="0" t="n">
        <v>2.72218015681377E-006</v>
      </c>
      <c r="M8" s="0" t="n">
        <v>2.72245790510054E-006</v>
      </c>
      <c r="N8" s="0" t="n">
        <v>2.72399810784687E-006</v>
      </c>
      <c r="O8" s="0" t="n">
        <v>2.72246296160968E-006</v>
      </c>
      <c r="P8" s="0" t="s">
        <v>18</v>
      </c>
      <c r="Q8" s="0" t="n">
        <v>3</v>
      </c>
    </row>
    <row r="9" customFormat="false" ht="15" hidden="false" customHeight="false" outlineLevel="0" collapsed="false">
      <c r="A9" s="0" t="n">
        <v>500</v>
      </c>
      <c r="B9" s="0" t="n">
        <v>500</v>
      </c>
      <c r="C9" s="0" t="n">
        <v>3.5</v>
      </c>
      <c r="D9" s="0" t="n">
        <v>5</v>
      </c>
      <c r="E9" s="0" t="n">
        <v>5</v>
      </c>
      <c r="F9" s="0" t="n">
        <v>1</v>
      </c>
      <c r="G9" s="0" t="n">
        <v>0.001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1.25755092003112E-005</v>
      </c>
      <c r="L9" s="0" t="n">
        <v>1.25592316798052E-005</v>
      </c>
      <c r="M9" s="0" t="n">
        <v>1.25605914724441E-005</v>
      </c>
      <c r="N9" s="0" t="n">
        <v>1.25639327129974E-005</v>
      </c>
      <c r="O9" s="0" t="n">
        <v>1.25607474197743E-005</v>
      </c>
      <c r="P9" s="0" t="s">
        <v>18</v>
      </c>
      <c r="Q9" s="0" t="n">
        <v>3.5</v>
      </c>
    </row>
    <row r="10" customFormat="false" ht="15" hidden="false" customHeight="false" outlineLevel="0" collapsed="false">
      <c r="A10" s="0" t="n">
        <v>500</v>
      </c>
      <c r="B10" s="0" t="n">
        <v>500</v>
      </c>
      <c r="C10" s="0" t="n">
        <v>4</v>
      </c>
      <c r="D10" s="0" t="n">
        <v>5</v>
      </c>
      <c r="E10" s="0" t="n">
        <v>5</v>
      </c>
      <c r="F10" s="0" t="n">
        <v>1</v>
      </c>
      <c r="G10" s="0" t="n">
        <v>0.001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2.27925495867049E-005</v>
      </c>
      <c r="L10" s="0" t="n">
        <v>2.27627366573928E-005</v>
      </c>
      <c r="M10" s="0" t="n">
        <v>2.27651993665991E-005</v>
      </c>
      <c r="N10" s="0" t="n">
        <v>2.27707960718243E-005</v>
      </c>
      <c r="O10" s="0" t="n">
        <v>2.27657141623932E-005</v>
      </c>
      <c r="P10" s="0" t="s">
        <v>18</v>
      </c>
      <c r="Q10" s="0" t="n">
        <v>4</v>
      </c>
    </row>
    <row r="11" customFormat="false" ht="15" hidden="false" customHeight="false" outlineLevel="0" collapsed="false">
      <c r="A11" s="0" t="n">
        <v>500</v>
      </c>
      <c r="B11" s="0" t="n">
        <v>500</v>
      </c>
      <c r="C11" s="0" t="n">
        <v>5</v>
      </c>
      <c r="D11" s="0" t="n">
        <v>5</v>
      </c>
      <c r="E11" s="0" t="n">
        <v>5</v>
      </c>
      <c r="F11" s="0" t="n">
        <v>1</v>
      </c>
      <c r="G11" s="0" t="n">
        <v>0.001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4.21322623399551E-005</v>
      </c>
      <c r="L11" s="0" t="n">
        <v>4.20473481956956E-005</v>
      </c>
      <c r="M11" s="0" t="n">
        <v>4.20518294622761E-005</v>
      </c>
      <c r="N11" s="0" t="n">
        <v>4.20666703425068E-005</v>
      </c>
      <c r="O11" s="0" t="n">
        <v>4.20535841520995E-005</v>
      </c>
      <c r="P11" s="0" t="s">
        <v>18</v>
      </c>
      <c r="Q11" s="0" t="n">
        <v>5</v>
      </c>
    </row>
    <row r="12" customFormat="false" ht="15" hidden="false" customHeight="false" outlineLevel="0" collapsed="false">
      <c r="A12" s="0" t="n">
        <v>500</v>
      </c>
      <c r="B12" s="0" t="n">
        <v>500</v>
      </c>
      <c r="C12" s="0" t="n">
        <v>7.5</v>
      </c>
      <c r="D12" s="0" t="n">
        <v>5</v>
      </c>
      <c r="E12" s="0" t="n">
        <v>5</v>
      </c>
      <c r="F12" s="0" t="n">
        <v>1</v>
      </c>
      <c r="G12" s="0" t="n">
        <v>0.001</v>
      </c>
      <c r="H12" s="0" t="n">
        <v>12</v>
      </c>
      <c r="I12" s="1" t="b">
        <f aca="false">FALSE()</f>
        <v>0</v>
      </c>
      <c r="J12" s="1" t="b">
        <f aca="false">TRUE()</f>
        <v>1</v>
      </c>
      <c r="K12" s="0" t="n">
        <v>5.30919031380559E-005</v>
      </c>
      <c r="L12" s="0" t="n">
        <v>5.25691205881037E-005</v>
      </c>
      <c r="M12" s="0" t="n">
        <v>5.25717327480364E-005</v>
      </c>
      <c r="N12" s="0" t="n">
        <v>5.26409314335398E-005</v>
      </c>
      <c r="O12" s="0" t="n">
        <v>5.25741465194883E-005</v>
      </c>
      <c r="P12" s="0" t="s">
        <v>18</v>
      </c>
      <c r="Q12" s="0" t="n">
        <v>7.5</v>
      </c>
    </row>
    <row r="13" customFormat="false" ht="15" hidden="false" customHeight="false" outlineLevel="0" collapsed="false">
      <c r="A13" s="0" t="n">
        <v>500</v>
      </c>
      <c r="B13" s="0" t="n">
        <v>500</v>
      </c>
      <c r="C13" s="0" t="n">
        <v>10</v>
      </c>
      <c r="D13" s="0" t="n">
        <v>5</v>
      </c>
      <c r="E13" s="0" t="n">
        <v>5</v>
      </c>
      <c r="F13" s="0" t="n">
        <v>1</v>
      </c>
      <c r="G13" s="0" t="n">
        <v>0.001</v>
      </c>
      <c r="H13" s="0" t="n">
        <v>12</v>
      </c>
      <c r="I13" s="1" t="b">
        <f aca="false">FALSE()</f>
        <v>0</v>
      </c>
      <c r="J13" s="1" t="b">
        <f aca="false">TRUE()</f>
        <v>1</v>
      </c>
      <c r="K13" s="0" t="n">
        <v>8.09925359434056E-005</v>
      </c>
      <c r="L13" s="0" t="n">
        <v>8.00076659383251E-005</v>
      </c>
      <c r="M13" s="0" t="n">
        <v>7.99943702855884E-005</v>
      </c>
      <c r="N13" s="0" t="n">
        <v>8.0151204455769E-005</v>
      </c>
      <c r="O13" s="0" t="n">
        <v>7.99855126018959E-005</v>
      </c>
      <c r="P13" s="0" t="s">
        <v>18</v>
      </c>
      <c r="Q13" s="0" t="n">
        <v>10</v>
      </c>
    </row>
    <row r="14" customFormat="false" ht="15" hidden="false" customHeight="false" outlineLevel="0" collapsed="false">
      <c r="A14" s="0" t="n">
        <v>500</v>
      </c>
      <c r="B14" s="0" t="n">
        <v>500</v>
      </c>
      <c r="C14" s="0" t="n">
        <v>15</v>
      </c>
      <c r="D14" s="0" t="n">
        <v>5</v>
      </c>
      <c r="E14" s="0" t="n">
        <v>5</v>
      </c>
      <c r="F14" s="0" t="n">
        <v>1</v>
      </c>
      <c r="G14" s="0" t="n">
        <v>0.001</v>
      </c>
      <c r="H14" s="0" t="n">
        <v>12</v>
      </c>
      <c r="I14" s="1" t="b">
        <f aca="false">FALSE()</f>
        <v>0</v>
      </c>
      <c r="J14" s="1" t="b">
        <f aca="false">TRUE()</f>
        <v>1</v>
      </c>
      <c r="K14" s="0" t="n">
        <v>0.00141205688688344</v>
      </c>
      <c r="L14" s="0" t="n">
        <v>0.00140720723617926</v>
      </c>
      <c r="M14" s="0" t="n">
        <v>0.00140732682143689</v>
      </c>
      <c r="N14" s="0" t="n">
        <v>0.00140620800327125</v>
      </c>
      <c r="O14" s="0" t="n">
        <v>0.00140534561489598</v>
      </c>
      <c r="P14" s="0" t="s">
        <v>18</v>
      </c>
      <c r="Q14" s="0" t="n">
        <v>15</v>
      </c>
    </row>
    <row r="15" customFormat="false" ht="15" hidden="false" customHeight="false" outlineLevel="0" collapsed="false">
      <c r="A15" s="0" t="n">
        <v>500</v>
      </c>
      <c r="B15" s="0" t="n">
        <v>500</v>
      </c>
      <c r="C15" s="0" t="n">
        <v>20</v>
      </c>
      <c r="D15" s="0" t="n">
        <v>5</v>
      </c>
      <c r="E15" s="0" t="n">
        <v>5</v>
      </c>
      <c r="F15" s="0" t="n">
        <v>1</v>
      </c>
      <c r="G15" s="0" t="n">
        <v>0.001</v>
      </c>
      <c r="H15" s="0" t="n">
        <v>12</v>
      </c>
      <c r="I15" s="1" t="b">
        <f aca="false">FALSE()</f>
        <v>0</v>
      </c>
      <c r="J15" s="1" t="b">
        <f aca="false">TRUE()</f>
        <v>1</v>
      </c>
      <c r="K15" s="0" t="n">
        <v>0.00566299770406353</v>
      </c>
      <c r="L15" s="0" t="n">
        <v>0.00564731633464689</v>
      </c>
      <c r="M15" s="0" t="n">
        <v>0.00564783924358769</v>
      </c>
      <c r="N15" s="0" t="n">
        <v>0.00561886495259775</v>
      </c>
      <c r="O15" s="0" t="n">
        <v>0.00561611469675219</v>
      </c>
      <c r="P15" s="0" t="s">
        <v>18</v>
      </c>
      <c r="Q15" s="0" t="n">
        <v>20</v>
      </c>
    </row>
    <row r="16" customFormat="false" ht="15" hidden="false" customHeight="false" outlineLevel="0" collapsed="false">
      <c r="A16" s="0" t="n">
        <v>500</v>
      </c>
      <c r="B16" s="0" t="n">
        <v>500</v>
      </c>
      <c r="C16" s="0" t="n">
        <v>30</v>
      </c>
      <c r="D16" s="0" t="n">
        <v>5</v>
      </c>
      <c r="E16" s="0" t="n">
        <v>5</v>
      </c>
      <c r="F16" s="0" t="n">
        <v>1</v>
      </c>
      <c r="G16" s="0" t="n">
        <v>0.001</v>
      </c>
      <c r="H16" s="0" t="n">
        <v>12</v>
      </c>
      <c r="I16" s="1" t="b">
        <f aca="false">FALSE()</f>
        <v>0</v>
      </c>
      <c r="J16" s="1" t="b">
        <f aca="false">TRUE()</f>
        <v>1</v>
      </c>
      <c r="K16" s="0" t="n">
        <v>0.0339921902928027</v>
      </c>
      <c r="L16" s="0" t="n">
        <v>0.0338839648674342</v>
      </c>
      <c r="M16" s="0" t="n">
        <v>0.0338868832077409</v>
      </c>
      <c r="N16" s="0" t="n">
        <v>0.0327902684936269</v>
      </c>
      <c r="O16" s="0" t="n">
        <v>0.032776251447031</v>
      </c>
      <c r="P16" s="0" t="s">
        <v>18</v>
      </c>
      <c r="Q16" s="0" t="n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500</v>
      </c>
      <c r="B2" s="0" t="n">
        <v>500</v>
      </c>
      <c r="C2" s="0" t="n">
        <v>4</v>
      </c>
      <c r="D2" s="0" t="n">
        <v>5</v>
      </c>
      <c r="E2" s="0" t="n">
        <v>5</v>
      </c>
      <c r="F2" s="0" t="n">
        <v>1</v>
      </c>
      <c r="G2" s="0" t="n">
        <v>0.001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2.27925495867049E-005</v>
      </c>
      <c r="L2" s="0" t="n">
        <v>2.27627366573928E-005</v>
      </c>
      <c r="M2" s="0" t="n">
        <v>2.27651993665991E-005</v>
      </c>
      <c r="N2" s="0" t="n">
        <v>2.27707960718243E-005</v>
      </c>
      <c r="O2" s="0" t="n">
        <v>2.27657141623932E-005</v>
      </c>
      <c r="P2" s="0" t="s">
        <v>3</v>
      </c>
      <c r="Q2" s="0" t="n">
        <v>5</v>
      </c>
    </row>
    <row r="3" customFormat="false" ht="15" hidden="false" customHeight="false" outlineLevel="0" collapsed="false">
      <c r="A3" s="0" t="n">
        <v>500</v>
      </c>
      <c r="B3" s="0" t="n">
        <v>500</v>
      </c>
      <c r="C3" s="0" t="n">
        <v>4</v>
      </c>
      <c r="D3" s="0" t="n">
        <v>7</v>
      </c>
      <c r="E3" s="0" t="n">
        <v>5</v>
      </c>
      <c r="F3" s="0" t="n">
        <v>1</v>
      </c>
      <c r="G3" s="0" t="n">
        <v>0.001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2.28213730865648E-005</v>
      </c>
      <c r="L3" s="0" t="n">
        <v>2.27546227072809E-005</v>
      </c>
      <c r="M3" s="0" t="n">
        <v>2.27570167866933E-005</v>
      </c>
      <c r="N3" s="0" t="n">
        <v>2.27742671454389E-005</v>
      </c>
      <c r="O3" s="0" t="n">
        <v>2.27575435075983E-005</v>
      </c>
      <c r="P3" s="0" t="s">
        <v>3</v>
      </c>
      <c r="Q3" s="0" t="n">
        <v>7</v>
      </c>
    </row>
    <row r="4" customFormat="false" ht="15" hidden="false" customHeight="false" outlineLevel="0" collapsed="false">
      <c r="A4" s="0" t="n">
        <v>500</v>
      </c>
      <c r="B4" s="0" t="n">
        <v>500</v>
      </c>
      <c r="C4" s="0" t="n">
        <v>4</v>
      </c>
      <c r="D4" s="0" t="n">
        <v>10</v>
      </c>
      <c r="E4" s="0" t="n">
        <v>5</v>
      </c>
      <c r="F4" s="0" t="n">
        <v>1</v>
      </c>
      <c r="G4" s="0" t="n">
        <v>0.001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4.16572127875182E-005</v>
      </c>
      <c r="L4" s="0" t="n">
        <v>4.1574873410162E-005</v>
      </c>
      <c r="M4" s="0" t="n">
        <v>4.15983870375453E-005</v>
      </c>
      <c r="N4" s="0" t="n">
        <v>4.15889198283367E-005</v>
      </c>
      <c r="O4" s="0" t="n">
        <v>4.15810511001986E-005</v>
      </c>
      <c r="P4" s="0" t="s">
        <v>3</v>
      </c>
      <c r="Q4" s="0" t="n">
        <v>10</v>
      </c>
    </row>
    <row r="5" customFormat="false" ht="15" hidden="false" customHeight="false" outlineLevel="0" collapsed="false">
      <c r="A5" s="0" t="n">
        <v>500</v>
      </c>
      <c r="B5" s="0" t="n">
        <v>500</v>
      </c>
      <c r="C5" s="0" t="n">
        <v>4</v>
      </c>
      <c r="D5" s="0" t="n">
        <v>15</v>
      </c>
      <c r="E5" s="0" t="n">
        <v>5</v>
      </c>
      <c r="F5" s="0" t="n">
        <v>1</v>
      </c>
      <c r="G5" s="0" t="n">
        <v>0.001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0.00058572822559901</v>
      </c>
      <c r="L5" s="0" t="n">
        <v>0.000420567881191832</v>
      </c>
      <c r="M5" s="0" t="n">
        <v>0.000261147346621012</v>
      </c>
      <c r="N5" s="0" t="n">
        <v>0.000105228218149912</v>
      </c>
      <c r="O5" s="0" t="n">
        <v>9.6433410720554E-005</v>
      </c>
      <c r="P5" s="0" t="s">
        <v>3</v>
      </c>
      <c r="Q5" s="0" t="n">
        <v>15</v>
      </c>
    </row>
    <row r="6" customFormat="false" ht="15" hidden="false" customHeight="false" outlineLevel="0" collapsed="false">
      <c r="A6" s="0" t="n">
        <v>500</v>
      </c>
      <c r="B6" s="0" t="n">
        <v>500</v>
      </c>
      <c r="C6" s="0" t="n">
        <v>4</v>
      </c>
      <c r="D6" s="0" t="n">
        <v>20</v>
      </c>
      <c r="E6" s="0" t="n">
        <v>5</v>
      </c>
      <c r="F6" s="0" t="n">
        <v>1</v>
      </c>
      <c r="G6" s="0" t="n">
        <v>0.001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0.00591771511958721</v>
      </c>
      <c r="L6" s="0" t="n">
        <v>0.00227282378076361</v>
      </c>
      <c r="M6" s="0" t="n">
        <v>0.00226632465088231</v>
      </c>
      <c r="N6" s="0" t="n">
        <v>0.000121809615280331</v>
      </c>
      <c r="O6" s="0" t="n">
        <v>0.000118848696713411</v>
      </c>
      <c r="P6" s="0" t="s">
        <v>3</v>
      </c>
      <c r="Q6" s="0" t="n">
        <v>20</v>
      </c>
    </row>
    <row r="7" customFormat="false" ht="15" hidden="false" customHeight="false" outlineLevel="0" collapsed="false">
      <c r="A7" s="0" t="n">
        <v>500</v>
      </c>
      <c r="B7" s="0" t="n">
        <v>500</v>
      </c>
      <c r="C7" s="0" t="n">
        <v>4</v>
      </c>
      <c r="D7" s="0" t="n">
        <v>25</v>
      </c>
      <c r="E7" s="0" t="n">
        <v>5</v>
      </c>
      <c r="F7" s="0" t="n">
        <v>1</v>
      </c>
      <c r="G7" s="0" t="n">
        <v>0.001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0.000239252652452083</v>
      </c>
      <c r="L7" s="0" t="n">
        <v>0.000164412981647859</v>
      </c>
      <c r="M7" s="0" t="n">
        <v>0.000320700880845067</v>
      </c>
      <c r="N7" s="0" t="n">
        <v>0.000157282074471519</v>
      </c>
      <c r="O7" s="0" t="n">
        <v>0.000157282703686356</v>
      </c>
      <c r="P7" s="0" t="s">
        <v>3</v>
      </c>
      <c r="Q7" s="0" t="n">
        <v>25</v>
      </c>
    </row>
    <row r="8" customFormat="false" ht="15" hidden="false" customHeight="false" outlineLevel="0" collapsed="false">
      <c r="A8" s="0" t="n">
        <v>500</v>
      </c>
      <c r="B8" s="0" t="n">
        <v>500</v>
      </c>
      <c r="C8" s="0" t="n">
        <v>4</v>
      </c>
      <c r="D8" s="0" t="n">
        <v>40</v>
      </c>
      <c r="E8" s="0" t="n">
        <v>5</v>
      </c>
      <c r="F8" s="0" t="n">
        <v>1</v>
      </c>
      <c r="G8" s="0" t="n">
        <v>0.001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0.134127626835447</v>
      </c>
      <c r="L8" s="0" t="n">
        <v>0.0470396146252135</v>
      </c>
      <c r="M8" s="0" t="n">
        <v>0.0580529408771489</v>
      </c>
      <c r="N8" s="0" t="n">
        <v>0.000266194247530684</v>
      </c>
      <c r="O8" s="0" t="n">
        <v>0.000249583087833814</v>
      </c>
      <c r="P8" s="0" t="s">
        <v>3</v>
      </c>
      <c r="Q8" s="0" t="n">
        <v>40</v>
      </c>
    </row>
    <row r="9" customFormat="false" ht="15" hidden="false" customHeight="false" outlineLevel="0" collapsed="false">
      <c r="A9" s="0" t="n">
        <v>500</v>
      </c>
      <c r="B9" s="0" t="n">
        <v>500</v>
      </c>
      <c r="C9" s="0" t="n">
        <v>4</v>
      </c>
      <c r="D9" s="0" t="n">
        <v>50</v>
      </c>
      <c r="E9" s="0" t="n">
        <v>5</v>
      </c>
      <c r="F9" s="0" t="n">
        <v>1</v>
      </c>
      <c r="G9" s="0" t="n">
        <v>0.001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0.000563471429009775</v>
      </c>
      <c r="L9" s="0" t="n">
        <v>0.000385161913689199</v>
      </c>
      <c r="M9" s="0" t="n">
        <v>0.000390889218895364</v>
      </c>
      <c r="N9" s="0" t="n">
        <v>0.000345138908318745</v>
      </c>
      <c r="O9" s="0" t="n">
        <v>0.000338248412801661</v>
      </c>
      <c r="P9" s="0" t="s">
        <v>3</v>
      </c>
      <c r="Q9" s="0" t="n">
        <v>50</v>
      </c>
    </row>
    <row r="10" customFormat="false" ht="15" hidden="false" customHeight="false" outlineLevel="0" collapsed="false">
      <c r="A10" s="0" t="n">
        <v>500</v>
      </c>
      <c r="B10" s="0" t="n">
        <v>500</v>
      </c>
      <c r="C10" s="0" t="n">
        <v>4</v>
      </c>
      <c r="D10" s="0" t="n">
        <v>65</v>
      </c>
      <c r="E10" s="0" t="n">
        <v>5</v>
      </c>
      <c r="F10" s="0" t="n">
        <v>1</v>
      </c>
      <c r="G10" s="0" t="n">
        <v>0.001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0.00449143875761691</v>
      </c>
      <c r="L10" s="0" t="n">
        <v>0.00157613008601473</v>
      </c>
      <c r="M10" s="0" t="n">
        <v>0.00194087138523071</v>
      </c>
      <c r="N10" s="0" t="n">
        <v>0.000435318947620226</v>
      </c>
      <c r="O10" s="0" t="n">
        <v>0.000414210720457501</v>
      </c>
      <c r="P10" s="0" t="s">
        <v>3</v>
      </c>
      <c r="Q10" s="0" t="n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500</v>
      </c>
      <c r="B2" s="0" t="n">
        <v>500</v>
      </c>
      <c r="C2" s="0" t="n">
        <v>4</v>
      </c>
      <c r="D2" s="0" t="n">
        <v>5</v>
      </c>
      <c r="E2" s="0" t="n">
        <v>5</v>
      </c>
      <c r="F2" s="0" t="n">
        <v>1</v>
      </c>
      <c r="G2" s="0" t="n">
        <v>0.001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2.27925495867049E-005</v>
      </c>
      <c r="L2" s="0" t="n">
        <v>2.27627366573928E-005</v>
      </c>
      <c r="M2" s="0" t="n">
        <v>2.27651993665991E-005</v>
      </c>
      <c r="N2" s="0" t="n">
        <v>2.27707960718243E-005</v>
      </c>
      <c r="O2" s="0" t="n">
        <v>2.27657141623932E-005</v>
      </c>
      <c r="P2" s="0" t="s">
        <v>4</v>
      </c>
      <c r="Q2" s="0" t="n">
        <v>5</v>
      </c>
    </row>
    <row r="3" customFormat="false" ht="15" hidden="false" customHeight="false" outlineLevel="0" collapsed="false">
      <c r="A3" s="0" t="n">
        <v>500</v>
      </c>
      <c r="B3" s="0" t="n">
        <v>500</v>
      </c>
      <c r="C3" s="0" t="n">
        <v>4</v>
      </c>
      <c r="D3" s="0" t="n">
        <v>5</v>
      </c>
      <c r="E3" s="0" t="n">
        <v>6</v>
      </c>
      <c r="F3" s="0" t="n">
        <v>1</v>
      </c>
      <c r="G3" s="0" t="n">
        <v>0.001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2.28061422406938E-005</v>
      </c>
      <c r="L3" s="0" t="n">
        <v>2.27763592007126E-005</v>
      </c>
      <c r="M3" s="0" t="n">
        <v>2.27788234788316E-005</v>
      </c>
      <c r="N3" s="0" t="n">
        <v>2.27847919337136E-005</v>
      </c>
      <c r="O3" s="0" t="n">
        <v>2.27793389087318E-005</v>
      </c>
      <c r="P3" s="0" t="s">
        <v>4</v>
      </c>
      <c r="Q3" s="0" t="n">
        <v>6</v>
      </c>
    </row>
    <row r="4" customFormat="false" ht="15" hidden="false" customHeight="false" outlineLevel="0" collapsed="false">
      <c r="A4" s="0" t="n">
        <v>500</v>
      </c>
      <c r="B4" s="0" t="n">
        <v>500</v>
      </c>
      <c r="C4" s="0" t="n">
        <v>4</v>
      </c>
      <c r="D4" s="0" t="n">
        <v>5</v>
      </c>
      <c r="E4" s="0" t="n">
        <v>7</v>
      </c>
      <c r="F4" s="0" t="n">
        <v>1</v>
      </c>
      <c r="G4" s="0" t="n">
        <v>0.001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2.27997726305668E-005</v>
      </c>
      <c r="L4" s="0" t="n">
        <v>2.27661999354035E-005</v>
      </c>
      <c r="M4" s="0" t="n">
        <v>2.27686583735204E-005</v>
      </c>
      <c r="N4" s="0" t="n">
        <v>2.27778981619562E-005</v>
      </c>
      <c r="O4" s="0" t="n">
        <v>2.27691729281315E-005</v>
      </c>
      <c r="P4" s="0" t="s">
        <v>4</v>
      </c>
      <c r="Q4" s="0" t="n">
        <v>7</v>
      </c>
    </row>
    <row r="5" customFormat="false" ht="15" hidden="false" customHeight="false" outlineLevel="0" collapsed="false">
      <c r="A5" s="0" t="n">
        <v>500</v>
      </c>
      <c r="B5" s="0" t="n">
        <v>500</v>
      </c>
      <c r="C5" s="0" t="n">
        <v>4</v>
      </c>
      <c r="D5" s="0" t="n">
        <v>5</v>
      </c>
      <c r="E5" s="0" t="n">
        <v>8</v>
      </c>
      <c r="F5" s="0" t="n">
        <v>1</v>
      </c>
      <c r="G5" s="0" t="n">
        <v>0.001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2.27930906949874E-005</v>
      </c>
      <c r="L5" s="0" t="n">
        <v>2.27633554889152E-005</v>
      </c>
      <c r="M5" s="0" t="n">
        <v>2.27658185150808E-005</v>
      </c>
      <c r="N5" s="0" t="n">
        <v>2.27712979720953E-005</v>
      </c>
      <c r="O5" s="0" t="n">
        <v>2.27663333674823E-005</v>
      </c>
      <c r="P5" s="0" t="s">
        <v>4</v>
      </c>
      <c r="Q5" s="0" t="n">
        <v>8</v>
      </c>
    </row>
    <row r="6" customFormat="false" ht="15" hidden="false" customHeight="false" outlineLevel="0" collapsed="false">
      <c r="A6" s="0" t="n">
        <v>500</v>
      </c>
      <c r="B6" s="0" t="n">
        <v>500</v>
      </c>
      <c r="C6" s="0" t="n">
        <v>4</v>
      </c>
      <c r="D6" s="0" t="n">
        <v>5</v>
      </c>
      <c r="E6" s="0" t="n">
        <v>9</v>
      </c>
      <c r="F6" s="0" t="n">
        <v>1</v>
      </c>
      <c r="G6" s="0" t="n">
        <v>0.001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2.27859127121185E-005</v>
      </c>
      <c r="L6" s="0" t="n">
        <v>2.27562699871962E-005</v>
      </c>
      <c r="M6" s="0" t="n">
        <v>2.27587322792103E-005</v>
      </c>
      <c r="N6" s="0" t="n">
        <v>2.2764339809247E-005</v>
      </c>
      <c r="O6" s="0" t="n">
        <v>2.27592468122295E-005</v>
      </c>
      <c r="P6" s="0" t="s">
        <v>4</v>
      </c>
      <c r="Q6" s="0" t="n">
        <v>9</v>
      </c>
    </row>
    <row r="7" customFormat="false" ht="15" hidden="false" customHeight="false" outlineLevel="0" collapsed="false">
      <c r="A7" s="0" t="n">
        <v>500</v>
      </c>
      <c r="B7" s="0" t="n">
        <v>500</v>
      </c>
      <c r="C7" s="0" t="n">
        <v>4</v>
      </c>
      <c r="D7" s="0" t="n">
        <v>5</v>
      </c>
      <c r="E7" s="0" t="n">
        <v>10</v>
      </c>
      <c r="F7" s="0" t="n">
        <v>1</v>
      </c>
      <c r="G7" s="0" t="n">
        <v>0.001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2.27852784658063E-005</v>
      </c>
      <c r="L7" s="0" t="n">
        <v>2.27554561074191E-005</v>
      </c>
      <c r="M7" s="0" t="n">
        <v>2.27579180480189E-005</v>
      </c>
      <c r="N7" s="0" t="n">
        <v>2.2763445102189E-005</v>
      </c>
      <c r="O7" s="0" t="n">
        <v>2.27584325194026E-005</v>
      </c>
      <c r="P7" s="0" t="s">
        <v>4</v>
      </c>
      <c r="Q7" s="0" t="n">
        <v>10</v>
      </c>
    </row>
    <row r="8" customFormat="false" ht="15" hidden="false" customHeight="false" outlineLevel="0" collapsed="false">
      <c r="A8" s="0" t="n">
        <v>500</v>
      </c>
      <c r="B8" s="0" t="n">
        <v>500</v>
      </c>
      <c r="C8" s="0" t="n">
        <v>4</v>
      </c>
      <c r="D8" s="0" t="n">
        <v>5</v>
      </c>
      <c r="E8" s="0" t="n">
        <v>11</v>
      </c>
      <c r="F8" s="0" t="n">
        <v>1</v>
      </c>
      <c r="G8" s="0" t="n">
        <v>0.001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2.27874752035914E-005</v>
      </c>
      <c r="L8" s="0" t="n">
        <v>2.27577889052751E-005</v>
      </c>
      <c r="M8" s="0" t="n">
        <v>2.27602512289028E-005</v>
      </c>
      <c r="N8" s="0" t="n">
        <v>2.27657914953918E-005</v>
      </c>
      <c r="O8" s="0" t="n">
        <v>2.27607658570706E-005</v>
      </c>
      <c r="P8" s="0" t="s">
        <v>4</v>
      </c>
      <c r="Q8" s="0" t="n">
        <v>11</v>
      </c>
    </row>
    <row r="9" customFormat="false" ht="15" hidden="false" customHeight="false" outlineLevel="0" collapsed="false">
      <c r="A9" s="0" t="n">
        <v>500</v>
      </c>
      <c r="B9" s="0" t="n">
        <v>500</v>
      </c>
      <c r="C9" s="0" t="n">
        <v>4</v>
      </c>
      <c r="D9" s="0" t="n">
        <v>5</v>
      </c>
      <c r="E9" s="0" t="n">
        <v>12</v>
      </c>
      <c r="F9" s="0" t="n">
        <v>1</v>
      </c>
      <c r="G9" s="0" t="n">
        <v>0.001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2.27912258841539E-005</v>
      </c>
      <c r="L9" s="0" t="n">
        <v>2.27615689354393E-005</v>
      </c>
      <c r="M9" s="0" t="n">
        <v>2.27640317893176E-005</v>
      </c>
      <c r="N9" s="0" t="n">
        <v>2.27697238879993E-005</v>
      </c>
      <c r="O9" s="0" t="n">
        <v>2.27645465781217E-005</v>
      </c>
      <c r="P9" s="0" t="s">
        <v>4</v>
      </c>
      <c r="Q9" s="0" t="n">
        <v>12</v>
      </c>
    </row>
    <row r="10" customFormat="false" ht="15" hidden="false" customHeight="false" outlineLevel="0" collapsed="false">
      <c r="A10" s="0" t="n">
        <v>500</v>
      </c>
      <c r="B10" s="0" t="n">
        <v>500</v>
      </c>
      <c r="C10" s="0" t="n">
        <v>4</v>
      </c>
      <c r="D10" s="0" t="n">
        <v>5</v>
      </c>
      <c r="E10" s="0" t="n">
        <v>13</v>
      </c>
      <c r="F10" s="0" t="n">
        <v>1</v>
      </c>
      <c r="G10" s="0" t="n">
        <v>0.001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2.27849121028216E-005</v>
      </c>
      <c r="L10" s="0" t="n">
        <v>2.27554758619426E-005</v>
      </c>
      <c r="M10" s="0" t="n">
        <v>2.27579390302442E-005</v>
      </c>
      <c r="N10" s="0" t="n">
        <v>2.27678708587881E-005</v>
      </c>
      <c r="O10" s="0" t="n">
        <v>2.27584537142219E-005</v>
      </c>
      <c r="P10" s="0" t="s">
        <v>4</v>
      </c>
      <c r="Q10" s="0" t="n">
        <v>13</v>
      </c>
    </row>
    <row r="11" customFormat="false" ht="15" hidden="false" customHeight="false" outlineLevel="0" collapsed="false">
      <c r="A11" s="0" t="n">
        <v>500</v>
      </c>
      <c r="B11" s="0" t="n">
        <v>500</v>
      </c>
      <c r="C11" s="0" t="n">
        <v>4</v>
      </c>
      <c r="D11" s="0" t="n">
        <v>5</v>
      </c>
      <c r="E11" s="0" t="n">
        <v>14</v>
      </c>
      <c r="F11" s="0" t="n">
        <v>1</v>
      </c>
      <c r="G11" s="0" t="n">
        <v>0.001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2.27810556677787E-005</v>
      </c>
      <c r="L11" s="0" t="n">
        <v>2.27514129684129E-005</v>
      </c>
      <c r="M11" s="0" t="n">
        <v>2.27538764771491E-005</v>
      </c>
      <c r="N11" s="0" t="n">
        <v>2.27718904223892E-005</v>
      </c>
      <c r="O11" s="0" t="n">
        <v>2.27543913198145E-005</v>
      </c>
      <c r="P11" s="0" t="s">
        <v>4</v>
      </c>
      <c r="Q11" s="0" t="n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500</v>
      </c>
      <c r="B2" s="0" t="n">
        <v>500</v>
      </c>
      <c r="C2" s="0" t="n">
        <v>4</v>
      </c>
      <c r="D2" s="0" t="n">
        <v>5</v>
      </c>
      <c r="E2" s="0" t="n">
        <v>5</v>
      </c>
      <c r="F2" s="0" t="n">
        <v>1</v>
      </c>
      <c r="G2" s="0" t="n">
        <v>10</v>
      </c>
      <c r="H2" s="0" t="n">
        <v>12</v>
      </c>
      <c r="I2" s="1" t="b">
        <f aca="false">FALSE()</f>
        <v>0</v>
      </c>
      <c r="J2" s="1" t="b">
        <f aca="false">TRUE()</f>
        <v>1</v>
      </c>
      <c r="K2" s="0" t="n">
        <v>1.17943255262265E-005</v>
      </c>
      <c r="L2" s="0" t="n">
        <v>1.17769858181064E-005</v>
      </c>
      <c r="M2" s="0" t="n">
        <v>1.17776187477569E-005</v>
      </c>
      <c r="N2" s="0" t="n">
        <v>1.17943558583864E-005</v>
      </c>
      <c r="O2" s="0" t="n">
        <v>1.17774726450754E-005</v>
      </c>
      <c r="P2" s="0" t="s">
        <v>19</v>
      </c>
      <c r="Q2" s="0" t="n">
        <v>10</v>
      </c>
    </row>
    <row r="3" customFormat="false" ht="15" hidden="false" customHeight="false" outlineLevel="0" collapsed="false">
      <c r="A3" s="0" t="n">
        <v>500</v>
      </c>
      <c r="B3" s="0" t="n">
        <v>500</v>
      </c>
      <c r="C3" s="0" t="n">
        <v>4</v>
      </c>
      <c r="D3" s="0" t="n">
        <v>5</v>
      </c>
      <c r="E3" s="0" t="n">
        <v>5</v>
      </c>
      <c r="F3" s="0" t="n">
        <v>1</v>
      </c>
      <c r="G3" s="0" t="n">
        <v>5</v>
      </c>
      <c r="H3" s="0" t="n">
        <v>12</v>
      </c>
      <c r="I3" s="1" t="b">
        <f aca="false">FALSE()</f>
        <v>0</v>
      </c>
      <c r="J3" s="1" t="b">
        <f aca="false">TRUE()</f>
        <v>1</v>
      </c>
      <c r="K3" s="0" t="n">
        <v>6.93805463577002E-007</v>
      </c>
      <c r="L3" s="0" t="n">
        <v>6.73078005316015E-007</v>
      </c>
      <c r="M3" s="0" t="n">
        <v>6.72700321819515E-007</v>
      </c>
      <c r="N3" s="0" t="n">
        <v>6.8407403290003E-007</v>
      </c>
      <c r="O3" s="0" t="n">
        <v>6.72531994404921E-007</v>
      </c>
      <c r="P3" s="0" t="s">
        <v>19</v>
      </c>
      <c r="Q3" s="0" t="n">
        <v>5</v>
      </c>
    </row>
    <row r="4" customFormat="false" ht="15" hidden="false" customHeight="false" outlineLevel="0" collapsed="false">
      <c r="A4" s="0" t="n">
        <v>500</v>
      </c>
      <c r="B4" s="0" t="n">
        <v>500</v>
      </c>
      <c r="C4" s="0" t="n">
        <v>4</v>
      </c>
      <c r="D4" s="0" t="n">
        <v>5</v>
      </c>
      <c r="E4" s="0" t="n">
        <v>5</v>
      </c>
      <c r="F4" s="0" t="n">
        <v>1</v>
      </c>
      <c r="G4" s="0" t="n">
        <v>1</v>
      </c>
      <c r="H4" s="0" t="n">
        <v>12</v>
      </c>
      <c r="I4" s="1" t="b">
        <f aca="false">FALSE()</f>
        <v>0</v>
      </c>
      <c r="J4" s="1" t="b">
        <f aca="false">TRUE()</f>
        <v>1</v>
      </c>
      <c r="K4" s="0" t="n">
        <v>1.62352747556098E-005</v>
      </c>
      <c r="L4" s="0" t="n">
        <v>1.62062944273488E-005</v>
      </c>
      <c r="M4" s="0" t="n">
        <v>1.62078727598907E-005</v>
      </c>
      <c r="N4" s="0" t="n">
        <v>1.62164005396556E-005</v>
      </c>
      <c r="O4" s="0" t="n">
        <v>1.62081296128692E-005</v>
      </c>
      <c r="P4" s="0" t="s">
        <v>19</v>
      </c>
      <c r="Q4" s="0" t="n">
        <v>1</v>
      </c>
    </row>
    <row r="5" customFormat="false" ht="15" hidden="false" customHeight="false" outlineLevel="0" collapsed="false">
      <c r="A5" s="0" t="n">
        <v>500</v>
      </c>
      <c r="B5" s="0" t="n">
        <v>500</v>
      </c>
      <c r="C5" s="0" t="n">
        <v>4</v>
      </c>
      <c r="D5" s="0" t="n">
        <v>5</v>
      </c>
      <c r="E5" s="0" t="n">
        <v>5</v>
      </c>
      <c r="F5" s="0" t="n">
        <v>1</v>
      </c>
      <c r="G5" s="0" t="n">
        <v>0.5</v>
      </c>
      <c r="H5" s="0" t="n">
        <v>12</v>
      </c>
      <c r="I5" s="1" t="b">
        <f aca="false">FALSE()</f>
        <v>0</v>
      </c>
      <c r="J5" s="1" t="b">
        <f aca="false">TRUE()</f>
        <v>1</v>
      </c>
      <c r="K5" s="0" t="n">
        <v>1.93448200186363E-005</v>
      </c>
      <c r="L5" s="0" t="n">
        <v>1.93154406295169E-005</v>
      </c>
      <c r="M5" s="0" t="n">
        <v>1.93174231608504E-005</v>
      </c>
      <c r="N5" s="0" t="n">
        <v>1.93245988132487E-005</v>
      </c>
      <c r="O5" s="0" t="n">
        <v>1.93177918478526E-005</v>
      </c>
      <c r="P5" s="0" t="s">
        <v>19</v>
      </c>
      <c r="Q5" s="0" t="n">
        <v>0.5</v>
      </c>
    </row>
    <row r="6" customFormat="false" ht="15" hidden="false" customHeight="false" outlineLevel="0" collapsed="false">
      <c r="A6" s="0" t="n">
        <v>500</v>
      </c>
      <c r="B6" s="0" t="n">
        <v>500</v>
      </c>
      <c r="C6" s="0" t="n">
        <v>4</v>
      </c>
      <c r="D6" s="0" t="n">
        <v>5</v>
      </c>
      <c r="E6" s="0" t="n">
        <v>5</v>
      </c>
      <c r="F6" s="0" t="n">
        <v>1</v>
      </c>
      <c r="G6" s="0" t="n">
        <v>0.1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2.20787967235465E-005</v>
      </c>
      <c r="L6" s="0" t="n">
        <v>2.20487417031038E-005</v>
      </c>
      <c r="M6" s="0" t="n">
        <v>2.20511025564282E-005</v>
      </c>
      <c r="N6" s="0" t="n">
        <v>2.20570267208335E-005</v>
      </c>
      <c r="O6" s="0" t="n">
        <v>2.20515851954936E-005</v>
      </c>
      <c r="P6" s="0" t="s">
        <v>19</v>
      </c>
      <c r="Q6" s="0" t="n">
        <v>0.1</v>
      </c>
    </row>
    <row r="7" customFormat="false" ht="15" hidden="false" customHeight="false" outlineLevel="0" collapsed="false">
      <c r="A7" s="0" t="n">
        <v>500</v>
      </c>
      <c r="B7" s="0" t="n">
        <v>500</v>
      </c>
      <c r="C7" s="0" t="n">
        <v>4</v>
      </c>
      <c r="D7" s="0" t="n">
        <v>5</v>
      </c>
      <c r="E7" s="0" t="n">
        <v>5</v>
      </c>
      <c r="F7" s="0" t="n">
        <v>1</v>
      </c>
      <c r="G7" s="0" t="n">
        <v>0.05</v>
      </c>
      <c r="H7" s="0" t="n">
        <v>12</v>
      </c>
      <c r="I7" s="1" t="b">
        <f aca="false">FALSE()</f>
        <v>0</v>
      </c>
      <c r="J7" s="1" t="b">
        <f aca="false">TRUE()</f>
        <v>1</v>
      </c>
      <c r="K7" s="0" t="n">
        <v>2.24373948117319E-005</v>
      </c>
      <c r="L7" s="0" t="n">
        <v>2.24073919903919E-005</v>
      </c>
      <c r="M7" s="0" t="n">
        <v>2.24098039559781E-005</v>
      </c>
      <c r="N7" s="0" t="n">
        <v>2.24155580951781E-005</v>
      </c>
      <c r="O7" s="0" t="n">
        <v>2.2410302654783E-005</v>
      </c>
      <c r="P7" s="0" t="s">
        <v>19</v>
      </c>
      <c r="Q7" s="0" t="n">
        <v>0.05</v>
      </c>
    </row>
    <row r="8" customFormat="false" ht="15" hidden="false" customHeight="false" outlineLevel="0" collapsed="false">
      <c r="A8" s="0" t="n">
        <v>500</v>
      </c>
      <c r="B8" s="0" t="n">
        <v>500</v>
      </c>
      <c r="C8" s="0" t="n">
        <v>4</v>
      </c>
      <c r="D8" s="0" t="n">
        <v>5</v>
      </c>
      <c r="E8" s="0" t="n">
        <v>5</v>
      </c>
      <c r="F8" s="0" t="n">
        <v>1</v>
      </c>
      <c r="G8" s="0" t="n">
        <v>0.01</v>
      </c>
      <c r="H8" s="0" t="n">
        <v>12</v>
      </c>
      <c r="I8" s="1" t="b">
        <f aca="false">FALSE()</f>
        <v>0</v>
      </c>
      <c r="J8" s="1" t="b">
        <f aca="false">TRUE()</f>
        <v>1</v>
      </c>
      <c r="K8" s="0" t="n">
        <v>2.27270350234446E-005</v>
      </c>
      <c r="L8" s="0" t="n">
        <v>2.26971791030487E-005</v>
      </c>
      <c r="M8" s="0" t="n">
        <v>2.26996325000172E-005</v>
      </c>
      <c r="N8" s="0" t="n">
        <v>2.27052533555263E-005</v>
      </c>
      <c r="O8" s="0" t="n">
        <v>2.2700144337441E-005</v>
      </c>
      <c r="P8" s="0" t="s">
        <v>19</v>
      </c>
      <c r="Q8" s="0" t="n">
        <v>0.01</v>
      </c>
    </row>
    <row r="9" customFormat="false" ht="15" hidden="false" customHeight="false" outlineLevel="0" collapsed="false">
      <c r="A9" s="0" t="n">
        <v>500</v>
      </c>
      <c r="B9" s="0" t="n">
        <v>500</v>
      </c>
      <c r="C9" s="0" t="n">
        <v>4</v>
      </c>
      <c r="D9" s="0" t="n">
        <v>5</v>
      </c>
      <c r="E9" s="0" t="n">
        <v>5</v>
      </c>
      <c r="F9" s="0" t="n">
        <v>1</v>
      </c>
      <c r="G9" s="0" t="n">
        <v>0.005</v>
      </c>
      <c r="H9" s="0" t="n">
        <v>12</v>
      </c>
      <c r="I9" s="1" t="b">
        <f aca="false">FALSE()</f>
        <v>0</v>
      </c>
      <c r="J9" s="1" t="b">
        <f aca="false">TRUE()</f>
        <v>1</v>
      </c>
      <c r="K9" s="0" t="n">
        <v>2.27634144991249E-005</v>
      </c>
      <c r="L9" s="0" t="n">
        <v>2.27335838864126E-005</v>
      </c>
      <c r="M9" s="0" t="n">
        <v>2.27360424716984E-005</v>
      </c>
      <c r="N9" s="0" t="n">
        <v>2.27416488356018E-005</v>
      </c>
      <c r="O9" s="0" t="n">
        <v>2.27365559600465E-005</v>
      </c>
      <c r="P9" s="0" t="s">
        <v>19</v>
      </c>
      <c r="Q9" s="0" t="n">
        <v>0.005</v>
      </c>
    </row>
    <row r="10" customFormat="false" ht="15" hidden="false" customHeight="false" outlineLevel="0" collapsed="false">
      <c r="A10" s="0" t="n">
        <v>500</v>
      </c>
      <c r="B10" s="0" t="n">
        <v>500</v>
      </c>
      <c r="C10" s="0" t="n">
        <v>4</v>
      </c>
      <c r="D10" s="0" t="n">
        <v>5</v>
      </c>
      <c r="E10" s="0" t="n">
        <v>5</v>
      </c>
      <c r="F10" s="0" t="n">
        <v>1</v>
      </c>
      <c r="G10" s="0" t="n">
        <v>0.001</v>
      </c>
      <c r="H10" s="0" t="n">
        <v>12</v>
      </c>
      <c r="I10" s="1" t="b">
        <f aca="false">FALSE()</f>
        <v>0</v>
      </c>
      <c r="J10" s="1" t="b">
        <f aca="false">TRUE()</f>
        <v>1</v>
      </c>
      <c r="K10" s="0" t="n">
        <v>2.27925495867049E-005</v>
      </c>
      <c r="L10" s="0" t="n">
        <v>2.27627366573928E-005</v>
      </c>
      <c r="M10" s="0" t="n">
        <v>2.27651993665991E-005</v>
      </c>
      <c r="N10" s="0" t="n">
        <v>2.27707960718243E-005</v>
      </c>
      <c r="O10" s="0" t="n">
        <v>2.27657141623932E-005</v>
      </c>
      <c r="P10" s="0" t="s">
        <v>19</v>
      </c>
      <c r="Q10" s="0" t="n">
        <v>0.001</v>
      </c>
    </row>
    <row r="11" customFormat="false" ht="15" hidden="false" customHeight="false" outlineLevel="0" collapsed="false">
      <c r="A11" s="0" t="n">
        <v>500</v>
      </c>
      <c r="B11" s="0" t="n">
        <v>500</v>
      </c>
      <c r="C11" s="0" t="n">
        <v>4</v>
      </c>
      <c r="D11" s="0" t="n">
        <v>5</v>
      </c>
      <c r="E11" s="0" t="n">
        <v>5</v>
      </c>
      <c r="F11" s="0" t="n">
        <v>1</v>
      </c>
      <c r="G11" s="0" t="n">
        <v>0.0005</v>
      </c>
      <c r="H11" s="0" t="n">
        <v>12</v>
      </c>
      <c r="I11" s="1" t="b">
        <f aca="false">FALSE()</f>
        <v>0</v>
      </c>
      <c r="J11" s="1" t="b">
        <f aca="false">TRUE()</f>
        <v>1</v>
      </c>
      <c r="K11" s="0" t="n">
        <v>2.27961990048635E-005</v>
      </c>
      <c r="L11" s="0" t="n">
        <v>2.27663823366934E-005</v>
      </c>
      <c r="M11" s="0" t="n">
        <v>2.27688455529859E-005</v>
      </c>
      <c r="N11" s="0" t="n">
        <v>2.27744388651326E-005</v>
      </c>
      <c r="O11" s="0" t="n">
        <v>2.27693604791389E-005</v>
      </c>
      <c r="P11" s="0" t="s">
        <v>19</v>
      </c>
      <c r="Q11" s="0" t="n">
        <v>0.0005</v>
      </c>
    </row>
    <row r="12" customFormat="false" ht="15" hidden="false" customHeight="false" outlineLevel="0" collapsed="false">
      <c r="A12" s="0" t="n">
        <v>500</v>
      </c>
      <c r="B12" s="0" t="n">
        <v>500</v>
      </c>
      <c r="C12" s="0" t="n">
        <v>4</v>
      </c>
      <c r="D12" s="0" t="n">
        <v>5</v>
      </c>
      <c r="E12" s="0" t="n">
        <v>5</v>
      </c>
      <c r="F12" s="0" t="n">
        <v>1</v>
      </c>
      <c r="G12" s="0" t="n">
        <v>0.0001</v>
      </c>
      <c r="H12" s="0" t="n">
        <v>12</v>
      </c>
      <c r="I12" s="1" t="b">
        <f aca="false">FALSE()</f>
        <v>0</v>
      </c>
      <c r="J12" s="1" t="b">
        <f aca="false">TRUE()</f>
        <v>1</v>
      </c>
      <c r="K12" s="0" t="n">
        <v>2.27991548930051E-005</v>
      </c>
      <c r="L12" s="0" t="n">
        <v>2.27692995722775E-005</v>
      </c>
      <c r="M12" s="0" t="n">
        <v>2.27717631837466E-005</v>
      </c>
      <c r="N12" s="0" t="n">
        <v>2.27773529885097E-005</v>
      </c>
      <c r="O12" s="0" t="n">
        <v>2.27722782351342E-005</v>
      </c>
      <c r="P12" s="0" t="s">
        <v>19</v>
      </c>
      <c r="Q12" s="0" t="n">
        <v>0.0001</v>
      </c>
    </row>
    <row r="13" customFormat="false" ht="15" hidden="false" customHeight="false" outlineLevel="0" collapsed="false">
      <c r="A13" s="0" t="n">
        <v>500</v>
      </c>
      <c r="B13" s="0" t="n">
        <v>500</v>
      </c>
      <c r="C13" s="0" t="n">
        <v>4</v>
      </c>
      <c r="D13" s="0" t="n">
        <v>5</v>
      </c>
      <c r="E13" s="0" t="n">
        <v>5</v>
      </c>
      <c r="F13" s="0" t="n">
        <v>1</v>
      </c>
      <c r="G13" s="0" t="n">
        <v>5E-005</v>
      </c>
      <c r="H13" s="0" t="n">
        <v>12</v>
      </c>
      <c r="I13" s="1" t="b">
        <f aca="false">FALSE()</f>
        <v>0</v>
      </c>
      <c r="J13" s="1" t="b">
        <f aca="false">TRUE()</f>
        <v>1</v>
      </c>
      <c r="K13" s="0" t="n">
        <v>2.27995440548973E-005</v>
      </c>
      <c r="L13" s="0" t="n">
        <v>2.27696636740895E-005</v>
      </c>
      <c r="M13" s="0" t="n">
        <v>2.27721273320206E-005</v>
      </c>
      <c r="N13" s="0" t="n">
        <v>2.27777176914724E-005</v>
      </c>
      <c r="O13" s="0" t="n">
        <v>2.27726424205735E-005</v>
      </c>
      <c r="P13" s="0" t="s">
        <v>19</v>
      </c>
      <c r="Q13" s="0" t="n">
        <v>5E-005</v>
      </c>
    </row>
    <row r="14" customFormat="false" ht="15" hidden="false" customHeight="false" outlineLevel="0" collapsed="false">
      <c r="A14" s="0" t="n">
        <v>500</v>
      </c>
      <c r="B14" s="0" t="n">
        <v>500</v>
      </c>
      <c r="C14" s="0" t="n">
        <v>4</v>
      </c>
      <c r="D14" s="0" t="n">
        <v>5</v>
      </c>
      <c r="E14" s="0" t="n">
        <v>5</v>
      </c>
      <c r="F14" s="0" t="n">
        <v>1</v>
      </c>
      <c r="G14" s="0" t="n">
        <v>1E-005</v>
      </c>
      <c r="H14" s="0" t="n">
        <v>12</v>
      </c>
      <c r="I14" s="1" t="b">
        <f aca="false">FALSE()</f>
        <v>0</v>
      </c>
      <c r="J14" s="1" t="b">
        <f aca="false">TRUE()</f>
        <v>1</v>
      </c>
      <c r="K14" s="0" t="n">
        <v>2.27998979607506E-005</v>
      </c>
      <c r="L14" s="0" t="n">
        <v>2.27699551639377E-005</v>
      </c>
      <c r="M14" s="0" t="n">
        <v>2.27724188570581E-005</v>
      </c>
      <c r="N14" s="0" t="n">
        <v>2.27780107320096E-005</v>
      </c>
      <c r="O14" s="0" t="n">
        <v>2.27729339934571E-005</v>
      </c>
      <c r="P14" s="0" t="s">
        <v>19</v>
      </c>
      <c r="Q14" s="0" t="n">
        <v>1E-005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5" hidden="false" customHeight="false" outlineLevel="0" collapsed="false">
      <c r="A2" s="0" t="n">
        <v>500</v>
      </c>
      <c r="B2" s="0" t="n">
        <v>500</v>
      </c>
      <c r="C2" s="0" t="n">
        <v>4</v>
      </c>
      <c r="D2" s="0" t="n">
        <v>5</v>
      </c>
      <c r="E2" s="0" t="n">
        <v>5</v>
      </c>
      <c r="F2" s="0" t="n">
        <v>1</v>
      </c>
      <c r="G2" s="0" t="n">
        <v>0.001</v>
      </c>
      <c r="H2" s="0" t="n">
        <v>0</v>
      </c>
      <c r="I2" s="1" t="b">
        <f aca="false">FALSE()</f>
        <v>0</v>
      </c>
      <c r="J2" s="1" t="b">
        <f aca="false">TRUE()</f>
        <v>1</v>
      </c>
      <c r="K2" s="0" t="n">
        <v>4.22907114409604E-005</v>
      </c>
      <c r="L2" s="0" t="n">
        <v>4.22856899299179E-005</v>
      </c>
      <c r="M2" s="0" t="n">
        <v>4.22859892663313E-005</v>
      </c>
      <c r="N2" s="0" t="n">
        <v>4.23214752969209E-005</v>
      </c>
      <c r="O2" s="0" t="n">
        <v>4.22842026023214E-005</v>
      </c>
      <c r="P2" s="0" t="s">
        <v>20</v>
      </c>
      <c r="Q2" s="0" t="n">
        <v>0</v>
      </c>
    </row>
    <row r="3" customFormat="false" ht="15" hidden="false" customHeight="false" outlineLevel="0" collapsed="false">
      <c r="A3" s="0" t="n">
        <v>500</v>
      </c>
      <c r="B3" s="0" t="n">
        <v>500</v>
      </c>
      <c r="C3" s="0" t="n">
        <v>4</v>
      </c>
      <c r="D3" s="0" t="n">
        <v>5</v>
      </c>
      <c r="E3" s="0" t="n">
        <v>5</v>
      </c>
      <c r="F3" s="0" t="n">
        <v>1</v>
      </c>
      <c r="G3" s="0" t="n">
        <v>0.001</v>
      </c>
      <c r="H3" s="0" t="n">
        <v>4</v>
      </c>
      <c r="I3" s="1" t="b">
        <f aca="false">FALSE()</f>
        <v>0</v>
      </c>
      <c r="J3" s="1" t="b">
        <f aca="false">TRUE()</f>
        <v>1</v>
      </c>
      <c r="K3" s="0" t="n">
        <v>0.428468740576905</v>
      </c>
      <c r="L3" s="0" t="n">
        <v>0.370747550572205</v>
      </c>
      <c r="M3" s="0" t="n">
        <v>0.512888771216489</v>
      </c>
      <c r="N3" s="0" t="n">
        <v>0.863257376521345</v>
      </c>
      <c r="O3" s="0" t="n">
        <v>0.651896394450092</v>
      </c>
      <c r="P3" s="0" t="s">
        <v>20</v>
      </c>
      <c r="Q3" s="0" t="n">
        <v>4</v>
      </c>
    </row>
    <row r="4" customFormat="false" ht="15" hidden="false" customHeight="false" outlineLevel="0" collapsed="false">
      <c r="A4" s="0" t="n">
        <v>500</v>
      </c>
      <c r="B4" s="0" t="n">
        <v>500</v>
      </c>
      <c r="C4" s="0" t="n">
        <v>4</v>
      </c>
      <c r="D4" s="0" t="n">
        <v>5</v>
      </c>
      <c r="E4" s="0" t="n">
        <v>5</v>
      </c>
      <c r="F4" s="0" t="n">
        <v>1</v>
      </c>
      <c r="G4" s="0" t="n">
        <v>0.001</v>
      </c>
      <c r="H4" s="0" t="n">
        <v>6</v>
      </c>
      <c r="I4" s="1" t="b">
        <f aca="false">FALSE()</f>
        <v>0</v>
      </c>
      <c r="J4" s="1" t="b">
        <f aca="false">TRUE()</f>
        <v>1</v>
      </c>
      <c r="K4" s="0" t="n">
        <v>0.43723800161245</v>
      </c>
      <c r="L4" s="0" t="n">
        <v>0.382409739033405</v>
      </c>
      <c r="M4" s="0" t="n">
        <v>0.422087271407863</v>
      </c>
      <c r="N4" s="0" t="n">
        <v>0.598873506182812</v>
      </c>
      <c r="O4" s="0" t="n">
        <v>0.512221130809046</v>
      </c>
      <c r="P4" s="0" t="s">
        <v>20</v>
      </c>
      <c r="Q4" s="0" t="n">
        <v>6</v>
      </c>
    </row>
    <row r="5" customFormat="false" ht="15" hidden="false" customHeight="false" outlineLevel="0" collapsed="false">
      <c r="A5" s="0" t="n">
        <v>500</v>
      </c>
      <c r="B5" s="0" t="n">
        <v>500</v>
      </c>
      <c r="C5" s="0" t="n">
        <v>4</v>
      </c>
      <c r="D5" s="0" t="n">
        <v>5</v>
      </c>
      <c r="E5" s="0" t="n">
        <v>5</v>
      </c>
      <c r="F5" s="0" t="n">
        <v>1</v>
      </c>
      <c r="G5" s="0" t="n">
        <v>0.001</v>
      </c>
      <c r="H5" s="0" t="n">
        <v>8</v>
      </c>
      <c r="I5" s="1" t="b">
        <f aca="false">FALSE()</f>
        <v>0</v>
      </c>
      <c r="J5" s="1" t="b">
        <f aca="false">TRUE()</f>
        <v>1</v>
      </c>
      <c r="K5" s="0" t="n">
        <v>0.358113838495046</v>
      </c>
      <c r="L5" s="0" t="n">
        <v>0.318493683023698</v>
      </c>
      <c r="M5" s="0" t="n">
        <v>0.297172949411881</v>
      </c>
      <c r="N5" s="0" t="n">
        <v>0.370666442164609</v>
      </c>
      <c r="O5" s="0" t="n">
        <v>0.346299644661458</v>
      </c>
      <c r="P5" s="0" t="s">
        <v>20</v>
      </c>
      <c r="Q5" s="0" t="n">
        <v>8</v>
      </c>
    </row>
    <row r="6" customFormat="false" ht="15" hidden="false" customHeight="false" outlineLevel="0" collapsed="false">
      <c r="A6" s="0" t="n">
        <v>500</v>
      </c>
      <c r="B6" s="0" t="n">
        <v>500</v>
      </c>
      <c r="C6" s="0" t="n">
        <v>4</v>
      </c>
      <c r="D6" s="0" t="n">
        <v>5</v>
      </c>
      <c r="E6" s="0" t="n">
        <v>5</v>
      </c>
      <c r="F6" s="0" t="n">
        <v>1</v>
      </c>
      <c r="G6" s="0" t="n">
        <v>0.001</v>
      </c>
      <c r="H6" s="0" t="n">
        <v>12</v>
      </c>
      <c r="I6" s="1" t="b">
        <f aca="false">FALSE()</f>
        <v>0</v>
      </c>
      <c r="J6" s="1" t="b">
        <f aca="false">TRUE()</f>
        <v>1</v>
      </c>
      <c r="K6" s="0" t="n">
        <v>2.27925495867049E-005</v>
      </c>
      <c r="L6" s="0" t="n">
        <v>2.27627366573928E-005</v>
      </c>
      <c r="M6" s="0" t="n">
        <v>2.27651993665991E-005</v>
      </c>
      <c r="N6" s="0" t="n">
        <v>2.27707960718243E-005</v>
      </c>
      <c r="O6" s="0" t="n">
        <v>2.27657141623932E-005</v>
      </c>
      <c r="P6" s="0" t="s">
        <v>20</v>
      </c>
      <c r="Q6" s="0" t="n">
        <v>12</v>
      </c>
    </row>
    <row r="7" customFormat="false" ht="15" hidden="false" customHeight="false" outlineLevel="0" collapsed="false">
      <c r="A7" s="0" t="n">
        <v>500</v>
      </c>
      <c r="B7" s="0" t="n">
        <v>500</v>
      </c>
      <c r="C7" s="0" t="n">
        <v>4</v>
      </c>
      <c r="D7" s="0" t="n">
        <v>5</v>
      </c>
      <c r="E7" s="0" t="n">
        <v>5</v>
      </c>
      <c r="F7" s="0" t="n">
        <v>1</v>
      </c>
      <c r="G7" s="0" t="n">
        <v>0.001</v>
      </c>
      <c r="H7" s="0" t="n">
        <v>16</v>
      </c>
      <c r="I7" s="1" t="b">
        <f aca="false">FALSE()</f>
        <v>0</v>
      </c>
      <c r="J7" s="1" t="b">
        <f aca="false">TRUE()</f>
        <v>1</v>
      </c>
      <c r="K7" s="0" t="n">
        <v>0.358116808411827</v>
      </c>
      <c r="L7" s="0" t="n">
        <v>0.318493682991913</v>
      </c>
      <c r="M7" s="0" t="n">
        <v>0.297172944335218</v>
      </c>
      <c r="N7" s="0" t="n">
        <v>0.370666437067971</v>
      </c>
      <c r="O7" s="0" t="n">
        <v>0.346299644959822</v>
      </c>
      <c r="P7" s="0" t="s">
        <v>20</v>
      </c>
      <c r="Q7" s="0" t="n">
        <v>16</v>
      </c>
    </row>
    <row r="8" customFormat="false" ht="15" hidden="false" customHeight="false" outlineLevel="0" collapsed="false">
      <c r="A8" s="0" t="n">
        <v>500</v>
      </c>
      <c r="B8" s="0" t="n">
        <v>500</v>
      </c>
      <c r="C8" s="0" t="n">
        <v>4</v>
      </c>
      <c r="D8" s="0" t="n">
        <v>5</v>
      </c>
      <c r="E8" s="0" t="n">
        <v>5</v>
      </c>
      <c r="F8" s="0" t="n">
        <v>1</v>
      </c>
      <c r="G8" s="0" t="n">
        <v>0.001</v>
      </c>
      <c r="H8" s="0" t="n">
        <v>18</v>
      </c>
      <c r="I8" s="1" t="b">
        <f aca="false">FALSE()</f>
        <v>0</v>
      </c>
      <c r="J8" s="1" t="b">
        <f aca="false">TRUE()</f>
        <v>1</v>
      </c>
      <c r="K8" s="0" t="n">
        <v>0.437239667287999</v>
      </c>
      <c r="L8" s="0" t="n">
        <v>0.3824097390354</v>
      </c>
      <c r="M8" s="0" t="n">
        <v>0.422087266796728</v>
      </c>
      <c r="N8" s="0" t="n">
        <v>0.598873478799252</v>
      </c>
      <c r="O8" s="0" t="n">
        <v>0.512221131639209</v>
      </c>
      <c r="P8" s="0" t="s">
        <v>20</v>
      </c>
      <c r="Q8" s="0" t="n">
        <v>18</v>
      </c>
    </row>
    <row r="9" customFormat="false" ht="15" hidden="false" customHeight="false" outlineLevel="0" collapsed="false">
      <c r="A9" s="0" t="n">
        <v>500</v>
      </c>
      <c r="B9" s="0" t="n">
        <v>500</v>
      </c>
      <c r="C9" s="0" t="n">
        <v>4</v>
      </c>
      <c r="D9" s="0" t="n">
        <v>5</v>
      </c>
      <c r="E9" s="0" t="n">
        <v>5</v>
      </c>
      <c r="F9" s="0" t="n">
        <v>1</v>
      </c>
      <c r="G9" s="0" t="n">
        <v>0.001</v>
      </c>
      <c r="H9" s="0" t="n">
        <v>20</v>
      </c>
      <c r="I9" s="1" t="b">
        <f aca="false">FALSE()</f>
        <v>0</v>
      </c>
      <c r="J9" s="1" t="b">
        <f aca="false">TRUE()</f>
        <v>1</v>
      </c>
      <c r="K9" s="0" t="n">
        <v>0.428468988385372</v>
      </c>
      <c r="L9" s="0" t="n">
        <v>0.370747550612324</v>
      </c>
      <c r="M9" s="0" t="n">
        <v>0.512888769445029</v>
      </c>
      <c r="N9" s="0" t="n">
        <v>0.86325735871109</v>
      </c>
      <c r="O9" s="0" t="n">
        <v>0.651896396421051</v>
      </c>
      <c r="P9" s="0" t="s">
        <v>20</v>
      </c>
      <c r="Q9" s="0" t="n">
        <v>20</v>
      </c>
    </row>
    <row r="10" customFormat="false" ht="15" hidden="false" customHeight="false" outlineLevel="0" collapsed="false">
      <c r="A10" s="0" t="n">
        <v>500</v>
      </c>
      <c r="B10" s="0" t="n">
        <v>500</v>
      </c>
      <c r="C10" s="0" t="n">
        <v>4</v>
      </c>
      <c r="D10" s="0" t="n">
        <v>5</v>
      </c>
      <c r="E10" s="0" t="n">
        <v>5</v>
      </c>
      <c r="F10" s="0" t="n">
        <v>1</v>
      </c>
      <c r="G10" s="0" t="n">
        <v>0.001</v>
      </c>
      <c r="H10" s="0" t="n">
        <v>24</v>
      </c>
      <c r="I10" s="1" t="b">
        <f aca="false">FALSE()</f>
        <v>0</v>
      </c>
      <c r="J10" s="1" t="b">
        <f aca="false">TRUE()</f>
        <v>1</v>
      </c>
      <c r="K10" s="0" t="n">
        <v>4.22907114409604E-005</v>
      </c>
      <c r="L10" s="0" t="n">
        <v>4.2285689929931E-005</v>
      </c>
      <c r="M10" s="0" t="n">
        <v>4.22859892663441E-005</v>
      </c>
      <c r="N10" s="0" t="n">
        <v>4.23214752969209E-005</v>
      </c>
      <c r="O10" s="0" t="n">
        <v>4.22842026023214E-005</v>
      </c>
      <c r="P10" s="0" t="s">
        <v>20</v>
      </c>
      <c r="Q10" s="0" t="n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2026-07-15T23:20:16Z</dcterms:created>
  <dc:creator>openpyxl</dc:creator>
  <dc:description/>
  <dc:language>en-US</dc:language>
  <cp:lastModifiedBy/>
  <dcterms:modified xsi:type="dcterms:W3CDTF">2026-07-20T15:07:41Z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