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6.xml.rels" ContentType="application/vnd.openxmlformats-package.relationships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rid Size" sheetId="1" state="visible" r:id="rId3"/>
    <sheet name="Length Scale" sheetId="2" state="visible" r:id="rId4"/>
    <sheet name="Stencil Nodes" sheetId="3" state="visible" r:id="rId5"/>
    <sheet name="Center Rings" sheetId="4" state="visible" r:id="rId6"/>
    <sheet name="Eigenvalue Ratio" sheetId="5" state="visible" r:id="rId7"/>
    <sheet name="Eigenvector Angle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<sst xmlns="http://schemas.openxmlformats.org/spreadsheetml/2006/main" count="170" uniqueCount="21">
  <si>
    <t xml:space="preserve">Nx</t>
  </si>
  <si>
    <t xml:space="preserve">Ny</t>
  </si>
  <si>
    <t xml:space="preserve">eps</t>
  </si>
  <si>
    <t xml:space="preserve">num_stencil_nodes</t>
  </si>
  <si>
    <t xml:space="preserve">num_rings</t>
  </si>
  <si>
    <t xml:space="preserve">eigenvalue 1</t>
  </si>
  <si>
    <t xml:space="preserve">eigenvalue 2</t>
  </si>
  <si>
    <t xml:space="preserve">radian = r/24</t>
  </si>
  <si>
    <t xml:space="preserve">augmentation</t>
  </si>
  <si>
    <t xml:space="preserve">sparse</t>
  </si>
  <si>
    <t xml:space="preserve">u_exact - u max_error_rel</t>
  </si>
  <si>
    <t xml:space="preserve">u_exact - u l2_error_rel</t>
  </si>
  <si>
    <t xml:space="preserve">energy_error_rel</t>
  </si>
  <si>
    <t xml:space="preserve">Lu_exact - F max_residual_rel</t>
  </si>
  <si>
    <t xml:space="preserve">Lu_exact - F l2_residual_rel</t>
  </si>
  <si>
    <t xml:space="preserve">varied_param</t>
  </si>
  <si>
    <t xml:space="preserve">varied_value</t>
  </si>
  <si>
    <t xml:space="preserve">N_int</t>
  </si>
  <si>
    <t xml:space="preserve">Inverse Length Scale</t>
  </si>
  <si>
    <t xml:space="preserve">eig_2</t>
  </si>
  <si>
    <t xml:space="preserve">rad24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</si>
</sst>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CCFFFF"/>
      <rgbColor rgb="FF660066"/>
      <rgbColor rgb="FFFF8080"/>
      <rgbColor rgb="FF1F77B4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7F0E"/>
      <rgbColor rgb="FF9467BD"/>
      <rgbColor rgb="FF969696"/>
      <rgbColor rgb="FF003366"/>
      <rgbColor rgb="FF2CA02C"/>
      <rgbColor rgb="FF003300"/>
      <rgbColor rgb="FF333300"/>
      <rgbColor rgb="FFD62728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Grid Size: Relative Errors &amp; Residuals vs N_int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'Grid Size'!K1</c:f>
              <c:strCache>
                <c:ptCount val="1"/>
                <c:pt idx="0">
                  <c:v>u_exact - u max_error_rel</c:v>
                </c:pt>
              </c:strCache>
            </c:strRef>
          </c:tx>
          <c:spPr>
            <a:solidFill>
              <a:srgbClr val="1f77b4"/>
            </a:solidFill>
            <a:ln w="20160">
              <a:solidFill>
                <a:srgbClr val="1f77b4"/>
              </a:solidFill>
              <a:round/>
            </a:ln>
          </c:spPr>
          <c:marker>
            <c:symbol val="circle"/>
            <c:size val="6"/>
            <c:spPr>
              <a:solidFill>
                <a:srgbClr val="1f77b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'Grid Size'!$Q$2:$Q$13</c:f>
              <c:numCache>
                <c:formatCode>General</c:formatCode>
                <c:ptCount val="12"/>
                <c:pt idx="0">
                  <c:v>20</c:v>
                </c:pt>
                <c:pt idx="1">
                  <c:v>30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250</c:v>
                </c:pt>
                <c:pt idx="10">
                  <c:v>500</c:v>
                </c:pt>
                <c:pt idx="11">
                  <c:v>750</c:v>
                </c:pt>
              </c:numCache>
            </c:numRef>
          </c:xVal>
          <c:yVal>
            <c:numRef>
              <c:f>'Grid Size'!$K$2:$K$13</c:f>
              <c:numCache>
                <c:formatCode>General</c:formatCode>
                <c:ptCount val="12"/>
                <c:pt idx="0">
                  <c:v>0.0259487695966695</c:v>
                </c:pt>
                <c:pt idx="1">
                  <c:v>0.0119703234769257</c:v>
                </c:pt>
                <c:pt idx="2">
                  <c:v>0.00444060520935125</c:v>
                </c:pt>
                <c:pt idx="3">
                  <c:v>0.00200553566217106</c:v>
                </c:pt>
                <c:pt idx="4">
                  <c:v>0.00113579369521233</c:v>
                </c:pt>
                <c:pt idx="5">
                  <c:v>0.000729457484804991</c:v>
                </c:pt>
                <c:pt idx="6">
                  <c:v>0.00050765466208674</c:v>
                </c:pt>
                <c:pt idx="7">
                  <c:v>0.000373732060534501</c:v>
                </c:pt>
                <c:pt idx="8">
                  <c:v>0.0002865639041114</c:v>
                </c:pt>
                <c:pt idx="9">
                  <c:v>0.000183755049067177</c:v>
                </c:pt>
                <c:pt idx="10">
                  <c:v>4.60965484577719E-005</c:v>
                </c:pt>
                <c:pt idx="11">
                  <c:v>2.08635061624859E-005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'Grid Size'!L1</c:f>
              <c:strCache>
                <c:ptCount val="1"/>
                <c:pt idx="0">
                  <c:v>u_exact - u l2_error_rel</c:v>
                </c:pt>
              </c:strCache>
            </c:strRef>
          </c:tx>
          <c:spPr>
            <a:solidFill>
              <a:srgbClr val="ff7f0e"/>
            </a:solidFill>
            <a:ln w="20160">
              <a:solidFill>
                <a:srgbClr val="ff7f0e"/>
              </a:solidFill>
              <a:round/>
            </a:ln>
          </c:spPr>
          <c:marker>
            <c:symbol val="circle"/>
            <c:size val="6"/>
            <c:spPr>
              <a:solidFill>
                <a:srgbClr val="ff7f0e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'Grid Size'!$Q$2:$Q$13</c:f>
              <c:numCache>
                <c:formatCode>General</c:formatCode>
                <c:ptCount val="12"/>
                <c:pt idx="0">
                  <c:v>20</c:v>
                </c:pt>
                <c:pt idx="1">
                  <c:v>30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250</c:v>
                </c:pt>
                <c:pt idx="10">
                  <c:v>500</c:v>
                </c:pt>
                <c:pt idx="11">
                  <c:v>750</c:v>
                </c:pt>
              </c:numCache>
            </c:numRef>
          </c:xVal>
          <c:yVal>
            <c:numRef>
              <c:f>'Grid Size'!$L$2:$L$13</c:f>
              <c:numCache>
                <c:formatCode>General</c:formatCode>
                <c:ptCount val="12"/>
                <c:pt idx="0">
                  <c:v>0.0237764165000369</c:v>
                </c:pt>
                <c:pt idx="1">
                  <c:v>0.0109591978251372</c:v>
                </c:pt>
                <c:pt idx="2">
                  <c:v>0.00405780432848876</c:v>
                </c:pt>
                <c:pt idx="3">
                  <c:v>0.00182847750003162</c:v>
                </c:pt>
                <c:pt idx="4">
                  <c:v>0.00103555656359563</c:v>
                </c:pt>
                <c:pt idx="5">
                  <c:v>0.000665460086012631</c:v>
                </c:pt>
                <c:pt idx="6">
                  <c:v>0.000463377111264786</c:v>
                </c:pt>
                <c:pt idx="7">
                  <c:v>0.00034109858108812</c:v>
                </c:pt>
                <c:pt idx="8">
                  <c:v>0.000261526972724805</c:v>
                </c:pt>
                <c:pt idx="9">
                  <c:v>0.000167713114057145</c:v>
                </c:pt>
                <c:pt idx="10">
                  <c:v>4.20694443780682E-005</c:v>
                </c:pt>
                <c:pt idx="11">
                  <c:v>1.9048622889499E-005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'Grid Size'!M1</c:f>
              <c:strCache>
                <c:ptCount val="1"/>
                <c:pt idx="0">
                  <c:v>energy_error_rel</c:v>
                </c:pt>
              </c:strCache>
            </c:strRef>
          </c:tx>
          <c:spPr>
            <a:solidFill>
              <a:srgbClr val="2ca02c"/>
            </a:solidFill>
            <a:ln w="20160">
              <a:solidFill>
                <a:srgbClr val="2ca02c"/>
              </a:solidFill>
              <a:round/>
            </a:ln>
          </c:spPr>
          <c:marker>
            <c:symbol val="circle"/>
            <c:size val="6"/>
            <c:spPr>
              <a:solidFill>
                <a:srgbClr val="2ca02c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'Grid Size'!$Q$2:$Q$13</c:f>
              <c:numCache>
                <c:formatCode>General</c:formatCode>
                <c:ptCount val="12"/>
                <c:pt idx="0">
                  <c:v>20</c:v>
                </c:pt>
                <c:pt idx="1">
                  <c:v>30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250</c:v>
                </c:pt>
                <c:pt idx="10">
                  <c:v>500</c:v>
                </c:pt>
                <c:pt idx="11">
                  <c:v>750</c:v>
                </c:pt>
              </c:numCache>
            </c:numRef>
          </c:xVal>
          <c:yVal>
            <c:numRef>
              <c:f>'Grid Size'!$M$2:$M$13</c:f>
              <c:numCache>
                <c:formatCode>General</c:formatCode>
                <c:ptCount val="12"/>
                <c:pt idx="0">
                  <c:v>0.0230447152126941</c:v>
                </c:pt>
                <c:pt idx="1">
                  <c:v>0.0106151287892943</c:v>
                </c:pt>
                <c:pt idx="2">
                  <c:v>0.00392831788533428</c:v>
                </c:pt>
                <c:pt idx="3">
                  <c:v>0.00176984302313405</c:v>
                </c:pt>
                <c:pt idx="4">
                  <c:v>0.00100229337896393</c:v>
                </c:pt>
                <c:pt idx="5">
                  <c:v>0.000644070252806318</c:v>
                </c:pt>
                <c:pt idx="6">
                  <c:v>0.000448477406369399</c:v>
                </c:pt>
                <c:pt idx="7">
                  <c:v>0.000330128305571196</c:v>
                </c:pt>
                <c:pt idx="8">
                  <c:v>0.000253114657244297</c:v>
                </c:pt>
                <c:pt idx="9">
                  <c:v>0.000162317495392564</c:v>
                </c:pt>
                <c:pt idx="10">
                  <c:v>4.07165538795466E-005</c:v>
                </c:pt>
                <c:pt idx="11">
                  <c:v>1.84254562980847E-005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'Grid Size'!N1</c:f>
              <c:strCache>
                <c:ptCount val="1"/>
                <c:pt idx="0">
                  <c:v>Lu_exact - F max_residual_rel</c:v>
                </c:pt>
              </c:strCache>
            </c:strRef>
          </c:tx>
          <c:spPr>
            <a:solidFill>
              <a:srgbClr val="d62728"/>
            </a:solidFill>
            <a:ln w="20160">
              <a:solidFill>
                <a:srgbClr val="d62728"/>
              </a:solidFill>
              <a:round/>
            </a:ln>
          </c:spPr>
          <c:marker>
            <c:symbol val="circle"/>
            <c:size val="6"/>
            <c:spPr>
              <a:solidFill>
                <a:srgbClr val="d6272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'Grid Size'!$Q$2:$Q$13</c:f>
              <c:numCache>
                <c:formatCode>General</c:formatCode>
                <c:ptCount val="12"/>
                <c:pt idx="0">
                  <c:v>20</c:v>
                </c:pt>
                <c:pt idx="1">
                  <c:v>30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250</c:v>
                </c:pt>
                <c:pt idx="10">
                  <c:v>500</c:v>
                </c:pt>
                <c:pt idx="11">
                  <c:v>750</c:v>
                </c:pt>
              </c:numCache>
            </c:numRef>
          </c:xVal>
          <c:yVal>
            <c:numRef>
              <c:f>'Grid Size'!$N$2:$N$13</c:f>
              <c:numCache>
                <c:formatCode>General</c:formatCode>
                <c:ptCount val="12"/>
                <c:pt idx="0">
                  <c:v>0.0152758227817162</c:v>
                </c:pt>
                <c:pt idx="1">
                  <c:v>0.00702249570182444</c:v>
                </c:pt>
                <c:pt idx="2">
                  <c:v>0.00260693943918085</c:v>
                </c:pt>
                <c:pt idx="3">
                  <c:v>0.00117439221676503</c:v>
                </c:pt>
                <c:pt idx="4">
                  <c:v>0.000665702494941885</c:v>
                </c:pt>
                <c:pt idx="5">
                  <c:v>0.00042785341247955</c:v>
                </c:pt>
                <c:pt idx="6">
                  <c:v>0.00029801354721815</c:v>
                </c:pt>
                <c:pt idx="7">
                  <c:v>0.000219359621600376</c:v>
                </c:pt>
                <c:pt idx="8">
                  <c:v>0.000168229932801213</c:v>
                </c:pt>
                <c:pt idx="9">
                  <c:v>0.000107889455390407</c:v>
                </c:pt>
                <c:pt idx="10">
                  <c:v>2.70680643915973E-005</c:v>
                </c:pt>
                <c:pt idx="11">
                  <c:v>1.22013024683598E-005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'Grid Size'!O1</c:f>
              <c:strCache>
                <c:ptCount val="1"/>
                <c:pt idx="0">
                  <c:v>Lu_exact - F l2_residual_rel</c:v>
                </c:pt>
              </c:strCache>
            </c:strRef>
          </c:tx>
          <c:spPr>
            <a:solidFill>
              <a:srgbClr val="9467bd"/>
            </a:solidFill>
            <a:ln w="20160">
              <a:solidFill>
                <a:srgbClr val="9467bd"/>
              </a:solidFill>
              <a:round/>
            </a:ln>
          </c:spPr>
          <c:marker>
            <c:symbol val="circle"/>
            <c:size val="6"/>
            <c:spPr>
              <a:solidFill>
                <a:srgbClr val="9467b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'Grid Size'!$Q$2:$Q$13</c:f>
              <c:numCache>
                <c:formatCode>General</c:formatCode>
                <c:ptCount val="12"/>
                <c:pt idx="0">
                  <c:v>20</c:v>
                </c:pt>
                <c:pt idx="1">
                  <c:v>30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250</c:v>
                </c:pt>
                <c:pt idx="10">
                  <c:v>500</c:v>
                </c:pt>
                <c:pt idx="11">
                  <c:v>750</c:v>
                </c:pt>
              </c:numCache>
            </c:numRef>
          </c:xVal>
          <c:yVal>
            <c:numRef>
              <c:f>'Grid Size'!$O$2:$O$13</c:f>
              <c:numCache>
                <c:formatCode>General</c:formatCode>
                <c:ptCount val="12"/>
                <c:pt idx="0">
                  <c:v>0.0188110742149167</c:v>
                </c:pt>
                <c:pt idx="1">
                  <c:v>0.00876068302411821</c:v>
                </c:pt>
                <c:pt idx="2">
                  <c:v>0.00326217299343161</c:v>
                </c:pt>
                <c:pt idx="3">
                  <c:v>0.00147266760761233</c:v>
                </c:pt>
                <c:pt idx="4">
                  <c:v>0.000834591337559552</c:v>
                </c:pt>
                <c:pt idx="5">
                  <c:v>0.000536481930833421</c:v>
                </c:pt>
                <c:pt idx="6">
                  <c:v>0.00037362879301992</c:v>
                </c:pt>
                <c:pt idx="7">
                  <c:v>0.000275061146820297</c:v>
                </c:pt>
                <c:pt idx="8">
                  <c:v>0.000210909524496917</c:v>
                </c:pt>
                <c:pt idx="9">
                  <c:v>0.000135263955203078</c:v>
                </c:pt>
                <c:pt idx="10">
                  <c:v>3.39392022331379E-005</c:v>
                </c:pt>
                <c:pt idx="11">
                  <c:v>1.529756731774E-005</c:v>
                </c:pt>
              </c:numCache>
            </c:numRef>
          </c:yVal>
          <c:smooth val="0"/>
        </c:ser>
        <c:axId val="48249087"/>
        <c:axId val="92454145"/>
      </c:scatterChart>
      <c:valAx>
        <c:axId val="48249087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N_int (varied value)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2454145"/>
        <c:crosses val="autoZero"/>
        <c:crossBetween val="midCat"/>
      </c:valAx>
      <c:valAx>
        <c:axId val="92454145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Relative Error / Residual (log scale)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8249087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Length Scale: Relative Errors &amp; Residuals vs Inverse Length Scale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'Length Scale'!K1</c:f>
              <c:strCache>
                <c:ptCount val="1"/>
                <c:pt idx="0">
                  <c:v>u_exact - u max_error_rel</c:v>
                </c:pt>
              </c:strCache>
            </c:strRef>
          </c:tx>
          <c:spPr>
            <a:solidFill>
              <a:srgbClr val="1f77b4"/>
            </a:solidFill>
            <a:ln w="20160">
              <a:solidFill>
                <a:srgbClr val="1f77b4"/>
              </a:solidFill>
              <a:round/>
            </a:ln>
          </c:spPr>
          <c:marker>
            <c:symbol val="circle"/>
            <c:size val="6"/>
            <c:spPr>
              <a:solidFill>
                <a:srgbClr val="1f77b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'Length Scale'!$Q$2:$Q$16</c:f>
              <c:numCache>
                <c:formatCode>General</c:formatCode>
                <c:ptCount val="15"/>
                <c:pt idx="0">
                  <c:v>0.05</c:v>
                </c:pt>
                <c:pt idx="1">
                  <c:v>0.1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5</c:v>
                </c:pt>
                <c:pt idx="10">
                  <c:v>7.5</c:v>
                </c:pt>
                <c:pt idx="11">
                  <c:v>10</c:v>
                </c:pt>
                <c:pt idx="12">
                  <c:v>15</c:v>
                </c:pt>
                <c:pt idx="13">
                  <c:v>20</c:v>
                </c:pt>
                <c:pt idx="14">
                  <c:v>30</c:v>
                </c:pt>
              </c:numCache>
            </c:numRef>
          </c:xVal>
          <c:yVal>
            <c:numRef>
              <c:f>'Length Scale'!$K$2:$K$16</c:f>
              <c:numCache>
                <c:formatCode>General</c:formatCode>
                <c:ptCount val="15"/>
                <c:pt idx="0">
                  <c:v>4212.32687727234</c:v>
                </c:pt>
                <c:pt idx="1">
                  <c:v>1052.19863885718</c:v>
                </c:pt>
                <c:pt idx="2">
                  <c:v>0.000123114786409814</c:v>
                </c:pt>
                <c:pt idx="3">
                  <c:v>8.78664986454721E-006</c:v>
                </c:pt>
                <c:pt idx="4">
                  <c:v>4.54807540051384E-006</c:v>
                </c:pt>
                <c:pt idx="5">
                  <c:v>5.98832943576724E-006</c:v>
                </c:pt>
                <c:pt idx="6">
                  <c:v>4.46339918246263E-007</c:v>
                </c:pt>
                <c:pt idx="7">
                  <c:v>1.65825519246044E-005</c:v>
                </c:pt>
                <c:pt idx="8">
                  <c:v>4.60965484577719E-005</c:v>
                </c:pt>
                <c:pt idx="9">
                  <c:v>0.000165792407600405</c:v>
                </c:pt>
                <c:pt idx="10">
                  <c:v>0.00111217540072519</c:v>
                </c:pt>
                <c:pt idx="11">
                  <c:v>0.00384473064918582</c:v>
                </c:pt>
                <c:pt idx="12">
                  <c:v>0.0210868863665143</c:v>
                </c:pt>
                <c:pt idx="13">
                  <c:v>0.0712046902970529</c:v>
                </c:pt>
                <c:pt idx="14">
                  <c:v>0.503432419266409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'Length Scale'!L1</c:f>
              <c:strCache>
                <c:ptCount val="1"/>
                <c:pt idx="0">
                  <c:v>u_exact - u l2_error_rel</c:v>
                </c:pt>
              </c:strCache>
            </c:strRef>
          </c:tx>
          <c:spPr>
            <a:solidFill>
              <a:srgbClr val="ff7f0e"/>
            </a:solidFill>
            <a:ln w="20160">
              <a:solidFill>
                <a:srgbClr val="ff7f0e"/>
              </a:solidFill>
              <a:round/>
            </a:ln>
          </c:spPr>
          <c:marker>
            <c:symbol val="circle"/>
            <c:size val="6"/>
            <c:spPr>
              <a:solidFill>
                <a:srgbClr val="ff7f0e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'Length Scale'!$Q$2:$Q$16</c:f>
              <c:numCache>
                <c:formatCode>General</c:formatCode>
                <c:ptCount val="15"/>
                <c:pt idx="0">
                  <c:v>0.05</c:v>
                </c:pt>
                <c:pt idx="1">
                  <c:v>0.1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5</c:v>
                </c:pt>
                <c:pt idx="10">
                  <c:v>7.5</c:v>
                </c:pt>
                <c:pt idx="11">
                  <c:v>10</c:v>
                </c:pt>
                <c:pt idx="12">
                  <c:v>15</c:v>
                </c:pt>
                <c:pt idx="13">
                  <c:v>20</c:v>
                </c:pt>
                <c:pt idx="14">
                  <c:v>30</c:v>
                </c:pt>
              </c:numCache>
            </c:numRef>
          </c:xVal>
          <c:yVal>
            <c:numRef>
              <c:f>'Length Scale'!$L$2:$L$16</c:f>
              <c:numCache>
                <c:formatCode>General</c:formatCode>
                <c:ptCount val="15"/>
                <c:pt idx="0">
                  <c:v>2795.77953103831</c:v>
                </c:pt>
                <c:pt idx="1">
                  <c:v>698.359031388681</c:v>
                </c:pt>
                <c:pt idx="2">
                  <c:v>0.000115031281762765</c:v>
                </c:pt>
                <c:pt idx="3">
                  <c:v>5.28259008072373E-006</c:v>
                </c:pt>
                <c:pt idx="4">
                  <c:v>3.79394625852871E-006</c:v>
                </c:pt>
                <c:pt idx="5">
                  <c:v>5.31156610480536E-006</c:v>
                </c:pt>
                <c:pt idx="6">
                  <c:v>3.73744759859924E-007</c:v>
                </c:pt>
                <c:pt idx="7">
                  <c:v>1.49222565653329E-005</c:v>
                </c:pt>
                <c:pt idx="8">
                  <c:v>4.20694443780682E-005</c:v>
                </c:pt>
                <c:pt idx="9">
                  <c:v>0.00015333400505315</c:v>
                </c:pt>
                <c:pt idx="10">
                  <c:v>0.00104099541312889</c:v>
                </c:pt>
                <c:pt idx="11">
                  <c:v>0.00359989670851326</c:v>
                </c:pt>
                <c:pt idx="12">
                  <c:v>0.0196367249699339</c:v>
                </c:pt>
                <c:pt idx="13">
                  <c:v>0.0662089794431737</c:v>
                </c:pt>
                <c:pt idx="14">
                  <c:v>0.468778943320052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'Length Scale'!M1</c:f>
              <c:strCache>
                <c:ptCount val="1"/>
                <c:pt idx="0">
                  <c:v>energy_error_rel</c:v>
                </c:pt>
              </c:strCache>
            </c:strRef>
          </c:tx>
          <c:spPr>
            <a:solidFill>
              <a:srgbClr val="2ca02c"/>
            </a:solidFill>
            <a:ln w="20160">
              <a:solidFill>
                <a:srgbClr val="2ca02c"/>
              </a:solidFill>
              <a:round/>
            </a:ln>
          </c:spPr>
          <c:marker>
            <c:symbol val="circle"/>
            <c:size val="6"/>
            <c:spPr>
              <a:solidFill>
                <a:srgbClr val="2ca02c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'Length Scale'!$Q$2:$Q$16</c:f>
              <c:numCache>
                <c:formatCode>General</c:formatCode>
                <c:ptCount val="15"/>
                <c:pt idx="0">
                  <c:v>0.05</c:v>
                </c:pt>
                <c:pt idx="1">
                  <c:v>0.1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5</c:v>
                </c:pt>
                <c:pt idx="10">
                  <c:v>7.5</c:v>
                </c:pt>
                <c:pt idx="11">
                  <c:v>10</c:v>
                </c:pt>
                <c:pt idx="12">
                  <c:v>15</c:v>
                </c:pt>
                <c:pt idx="13">
                  <c:v>20</c:v>
                </c:pt>
                <c:pt idx="14">
                  <c:v>30</c:v>
                </c:pt>
              </c:numCache>
            </c:numRef>
          </c:xVal>
          <c:yVal>
            <c:numRef>
              <c:f>'Length Scale'!$M$2:$M$16</c:f>
              <c:numCache>
                <c:formatCode>General</c:formatCode>
                <c:ptCount val="15"/>
                <c:pt idx="0">
                  <c:v>5942.35556483178</c:v>
                </c:pt>
                <c:pt idx="1">
                  <c:v>1485.13748912984</c:v>
                </c:pt>
                <c:pt idx="2">
                  <c:v>0.000109800513276136</c:v>
                </c:pt>
                <c:pt idx="3">
                  <c:v>9.17366559715932E-006</c:v>
                </c:pt>
                <c:pt idx="4">
                  <c:v>5.66449976564432E-006</c:v>
                </c:pt>
                <c:pt idx="5">
                  <c:v>5.41642059828644E-006</c:v>
                </c:pt>
                <c:pt idx="6">
                  <c:v>8.89213743359314E-007</c:v>
                </c:pt>
                <c:pt idx="7">
                  <c:v>1.47263774132151E-005</c:v>
                </c:pt>
                <c:pt idx="8">
                  <c:v>4.07165538795466E-005</c:v>
                </c:pt>
                <c:pt idx="9">
                  <c:v>0.000146852156864504</c:v>
                </c:pt>
                <c:pt idx="10">
                  <c:v>0.000993448996966258</c:v>
                </c:pt>
                <c:pt idx="11">
                  <c:v>0.0034351275598339</c:v>
                </c:pt>
                <c:pt idx="12">
                  <c:v>0.0187422150545075</c:v>
                </c:pt>
                <c:pt idx="13">
                  <c:v>0.0631996103092199</c:v>
                </c:pt>
                <c:pt idx="14">
                  <c:v>0.447426671369713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'Length Scale'!N1</c:f>
              <c:strCache>
                <c:ptCount val="1"/>
                <c:pt idx="0">
                  <c:v>Lu_exact - F max_residual_rel</c:v>
                </c:pt>
              </c:strCache>
            </c:strRef>
          </c:tx>
          <c:spPr>
            <a:solidFill>
              <a:srgbClr val="d62728"/>
            </a:solidFill>
            <a:ln w="20160">
              <a:solidFill>
                <a:srgbClr val="d62728"/>
              </a:solidFill>
              <a:round/>
            </a:ln>
          </c:spPr>
          <c:marker>
            <c:symbol val="circle"/>
            <c:size val="6"/>
            <c:spPr>
              <a:solidFill>
                <a:srgbClr val="d6272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'Length Scale'!$Q$2:$Q$16</c:f>
              <c:numCache>
                <c:formatCode>General</c:formatCode>
                <c:ptCount val="15"/>
                <c:pt idx="0">
                  <c:v>0.05</c:v>
                </c:pt>
                <c:pt idx="1">
                  <c:v>0.1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5</c:v>
                </c:pt>
                <c:pt idx="10">
                  <c:v>7.5</c:v>
                </c:pt>
                <c:pt idx="11">
                  <c:v>10</c:v>
                </c:pt>
                <c:pt idx="12">
                  <c:v>15</c:v>
                </c:pt>
                <c:pt idx="13">
                  <c:v>20</c:v>
                </c:pt>
                <c:pt idx="14">
                  <c:v>30</c:v>
                </c:pt>
              </c:numCache>
            </c:numRef>
          </c:xVal>
          <c:yVal>
            <c:numRef>
              <c:f>'Length Scale'!$N$2:$N$16</c:f>
              <c:numCache>
                <c:formatCode>General</c:formatCode>
                <c:ptCount val="15"/>
                <c:pt idx="0">
                  <c:v>0.999720557577854</c:v>
                </c:pt>
                <c:pt idx="1">
                  <c:v>0.998882230304439</c:v>
                </c:pt>
                <c:pt idx="2">
                  <c:v>6.02784974700361E-005</c:v>
                </c:pt>
                <c:pt idx="3">
                  <c:v>1.43003355799723E-005</c:v>
                </c:pt>
                <c:pt idx="4">
                  <c:v>8.16863504701651E-006</c:v>
                </c:pt>
                <c:pt idx="5">
                  <c:v>4.61056622430492E-006</c:v>
                </c:pt>
                <c:pt idx="6">
                  <c:v>1.41915354091368E-006</c:v>
                </c:pt>
                <c:pt idx="7">
                  <c:v>1.08327075485996E-005</c:v>
                </c:pt>
                <c:pt idx="8">
                  <c:v>2.70680643915973E-005</c:v>
                </c:pt>
                <c:pt idx="9">
                  <c:v>8.78510205602725E-005</c:v>
                </c:pt>
                <c:pt idx="10">
                  <c:v>0.000536426090259959</c:v>
                </c:pt>
                <c:pt idx="11">
                  <c:v>0.00184464890173497</c:v>
                </c:pt>
                <c:pt idx="12">
                  <c:v>0.0103906664583864</c:v>
                </c:pt>
                <c:pt idx="13">
                  <c:v>0.034037448892087</c:v>
                </c:pt>
                <c:pt idx="14">
                  <c:v>0.176642938771676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'Length Scale'!O1</c:f>
              <c:strCache>
                <c:ptCount val="1"/>
                <c:pt idx="0">
                  <c:v>Lu_exact - F l2_residual_rel</c:v>
                </c:pt>
              </c:strCache>
            </c:strRef>
          </c:tx>
          <c:spPr>
            <a:solidFill>
              <a:srgbClr val="9467bd"/>
            </a:solidFill>
            <a:ln w="20160">
              <a:solidFill>
                <a:srgbClr val="9467bd"/>
              </a:solidFill>
              <a:round/>
            </a:ln>
          </c:spPr>
          <c:marker>
            <c:symbol val="circle"/>
            <c:size val="6"/>
            <c:spPr>
              <a:solidFill>
                <a:srgbClr val="9467b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'Length Scale'!$Q$2:$Q$16</c:f>
              <c:numCache>
                <c:formatCode>General</c:formatCode>
                <c:ptCount val="15"/>
                <c:pt idx="0">
                  <c:v>0.05</c:v>
                </c:pt>
                <c:pt idx="1">
                  <c:v>0.1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5</c:v>
                </c:pt>
                <c:pt idx="10">
                  <c:v>7.5</c:v>
                </c:pt>
                <c:pt idx="11">
                  <c:v>10</c:v>
                </c:pt>
                <c:pt idx="12">
                  <c:v>15</c:v>
                </c:pt>
                <c:pt idx="13">
                  <c:v>20</c:v>
                </c:pt>
                <c:pt idx="14">
                  <c:v>30</c:v>
                </c:pt>
              </c:numCache>
            </c:numRef>
          </c:xVal>
          <c:yVal>
            <c:numRef>
              <c:f>'Length Scale'!$O$2:$O$16</c:f>
              <c:numCache>
                <c:formatCode>General</c:formatCode>
                <c:ptCount val="15"/>
                <c:pt idx="0">
                  <c:v>0.999720582473239</c:v>
                </c:pt>
                <c:pt idx="1">
                  <c:v>0.998882628964829</c:v>
                </c:pt>
                <c:pt idx="2">
                  <c:v>8.21311472813801E-005</c:v>
                </c:pt>
                <c:pt idx="3">
                  <c:v>1.84030517462018E-005</c:v>
                </c:pt>
                <c:pt idx="4">
                  <c:v>1.05830315704428E-005</c:v>
                </c:pt>
                <c:pt idx="5">
                  <c:v>5.86673559350493E-006</c:v>
                </c:pt>
                <c:pt idx="6">
                  <c:v>1.93167343343964E-006</c:v>
                </c:pt>
                <c:pt idx="7">
                  <c:v>1.38069630702737E-005</c:v>
                </c:pt>
                <c:pt idx="8">
                  <c:v>3.39392022331379E-005</c:v>
                </c:pt>
                <c:pt idx="9">
                  <c:v>0.000113017592224545</c:v>
                </c:pt>
                <c:pt idx="10">
                  <c:v>0.000740852465236657</c:v>
                </c:pt>
                <c:pt idx="11">
                  <c:v>0.0025528278429828</c:v>
                </c:pt>
                <c:pt idx="12">
                  <c:v>0.0137370424151542</c:v>
                </c:pt>
                <c:pt idx="13">
                  <c:v>0.0443437128884083</c:v>
                </c:pt>
                <c:pt idx="14">
                  <c:v>0.22781900137291</c:v>
                </c:pt>
              </c:numCache>
            </c:numRef>
          </c:yVal>
          <c:smooth val="0"/>
        </c:ser>
        <c:axId val="80966161"/>
        <c:axId val="30640541"/>
      </c:scatterChart>
      <c:valAx>
        <c:axId val="80966161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Inverse Length Scale (varied value)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0640541"/>
        <c:crosses val="autoZero"/>
        <c:crossBetween val="midCat"/>
      </c:valAx>
      <c:valAx>
        <c:axId val="30640541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Relative Error / Residual (log scale)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0966161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Stencil Nodes: Relative Errors &amp; Residuals vs num_stencil_nodes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'Stencil Nodes'!K1</c:f>
              <c:strCache>
                <c:ptCount val="1"/>
                <c:pt idx="0">
                  <c:v>u_exact - u max_error_rel</c:v>
                </c:pt>
              </c:strCache>
            </c:strRef>
          </c:tx>
          <c:spPr>
            <a:solidFill>
              <a:srgbClr val="1f77b4"/>
            </a:solidFill>
            <a:ln w="20160">
              <a:solidFill>
                <a:srgbClr val="1f77b4"/>
              </a:solidFill>
              <a:round/>
            </a:ln>
          </c:spPr>
          <c:marker>
            <c:symbol val="circle"/>
            <c:size val="6"/>
            <c:spPr>
              <a:solidFill>
                <a:srgbClr val="1f77b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'Stencil Nodes'!$Q$2:$Q$10</c:f>
              <c:numCache>
                <c:formatCode>General</c:formatCode>
                <c:ptCount val="9"/>
                <c:pt idx="0">
                  <c:v>5</c:v>
                </c:pt>
                <c:pt idx="1">
                  <c:v>7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40</c:v>
                </c:pt>
                <c:pt idx="7">
                  <c:v>50</c:v>
                </c:pt>
                <c:pt idx="8">
                  <c:v>65</c:v>
                </c:pt>
              </c:numCache>
            </c:numRef>
          </c:xVal>
          <c:yVal>
            <c:numRef>
              <c:f>'Stencil Nodes'!$K$2:$K$10</c:f>
              <c:numCache>
                <c:formatCode>General</c:formatCode>
                <c:ptCount val="9"/>
                <c:pt idx="0">
                  <c:v>4.60965484577719E-005</c:v>
                </c:pt>
                <c:pt idx="1">
                  <c:v>4.60934897221036E-005</c:v>
                </c:pt>
                <c:pt idx="2">
                  <c:v>0.000137950284495547</c:v>
                </c:pt>
                <c:pt idx="3">
                  <c:v>0.000923923078716667</c:v>
                </c:pt>
                <c:pt idx="4">
                  <c:v>0.000833877634856898</c:v>
                </c:pt>
                <c:pt idx="5">
                  <c:v>0.000498851904355485</c:v>
                </c:pt>
                <c:pt idx="6">
                  <c:v>0.265202714427013</c:v>
                </c:pt>
                <c:pt idx="7">
                  <c:v>0.0153035786442638</c:v>
                </c:pt>
                <c:pt idx="8">
                  <c:v>0.00302759177755435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'Stencil Nodes'!L1</c:f>
              <c:strCache>
                <c:ptCount val="1"/>
                <c:pt idx="0">
                  <c:v>u_exact - u l2_error_rel</c:v>
                </c:pt>
              </c:strCache>
            </c:strRef>
          </c:tx>
          <c:spPr>
            <a:solidFill>
              <a:srgbClr val="ff7f0e"/>
            </a:solidFill>
            <a:ln w="20160">
              <a:solidFill>
                <a:srgbClr val="ff7f0e"/>
              </a:solidFill>
              <a:round/>
            </a:ln>
          </c:spPr>
          <c:marker>
            <c:symbol val="circle"/>
            <c:size val="6"/>
            <c:spPr>
              <a:solidFill>
                <a:srgbClr val="ff7f0e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'Stencil Nodes'!$Q$2:$Q$10</c:f>
              <c:numCache>
                <c:formatCode>General</c:formatCode>
                <c:ptCount val="9"/>
                <c:pt idx="0">
                  <c:v>5</c:v>
                </c:pt>
                <c:pt idx="1">
                  <c:v>7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40</c:v>
                </c:pt>
                <c:pt idx="7">
                  <c:v>50</c:v>
                </c:pt>
                <c:pt idx="8">
                  <c:v>65</c:v>
                </c:pt>
              </c:numCache>
            </c:numRef>
          </c:xVal>
          <c:yVal>
            <c:numRef>
              <c:f>'Stencil Nodes'!$L$2:$L$10</c:f>
              <c:numCache>
                <c:formatCode>General</c:formatCode>
                <c:ptCount val="9"/>
                <c:pt idx="0">
                  <c:v>4.20694443780682E-005</c:v>
                </c:pt>
                <c:pt idx="1">
                  <c:v>4.20244902092943E-005</c:v>
                </c:pt>
                <c:pt idx="2">
                  <c:v>0.000124879406301391</c:v>
                </c:pt>
                <c:pt idx="3">
                  <c:v>0.000639320238483358</c:v>
                </c:pt>
                <c:pt idx="4">
                  <c:v>0.000302299847107987</c:v>
                </c:pt>
                <c:pt idx="5">
                  <c:v>0.000323517042868644</c:v>
                </c:pt>
                <c:pt idx="6">
                  <c:v>0.0870105890753466</c:v>
                </c:pt>
                <c:pt idx="7">
                  <c:v>0.00661500073816461</c:v>
                </c:pt>
                <c:pt idx="8">
                  <c:v>0.000848174083639091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'Stencil Nodes'!M1</c:f>
              <c:strCache>
                <c:ptCount val="1"/>
                <c:pt idx="0">
                  <c:v>energy_error_rel</c:v>
                </c:pt>
              </c:strCache>
            </c:strRef>
          </c:tx>
          <c:spPr>
            <a:solidFill>
              <a:srgbClr val="2ca02c"/>
            </a:solidFill>
            <a:ln w="20160">
              <a:solidFill>
                <a:srgbClr val="2ca02c"/>
              </a:solidFill>
              <a:round/>
            </a:ln>
          </c:spPr>
          <c:marker>
            <c:symbol val="circle"/>
            <c:size val="6"/>
            <c:spPr>
              <a:solidFill>
                <a:srgbClr val="2ca02c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'Stencil Nodes'!$Q$2:$Q$10</c:f>
              <c:numCache>
                <c:formatCode>General</c:formatCode>
                <c:ptCount val="9"/>
                <c:pt idx="0">
                  <c:v>5</c:v>
                </c:pt>
                <c:pt idx="1">
                  <c:v>7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40</c:v>
                </c:pt>
                <c:pt idx="7">
                  <c:v>50</c:v>
                </c:pt>
                <c:pt idx="8">
                  <c:v>65</c:v>
                </c:pt>
              </c:numCache>
            </c:numRef>
          </c:xVal>
          <c:yVal>
            <c:numRef>
              <c:f>'Stencil Nodes'!$M$2:$M$10</c:f>
              <c:numCache>
                <c:formatCode>General</c:formatCode>
                <c:ptCount val="9"/>
                <c:pt idx="0">
                  <c:v>4.07165538795466E-005</c:v>
                </c:pt>
                <c:pt idx="1">
                  <c:v>4.06738341994843E-005</c:v>
                </c:pt>
                <c:pt idx="2">
                  <c:v>0.000119949155944773</c:v>
                </c:pt>
                <c:pt idx="3">
                  <c:v>0.00115960129988508</c:v>
                </c:pt>
                <c:pt idx="4">
                  <c:v>0.000894970813287003</c:v>
                </c:pt>
                <c:pt idx="5">
                  <c:v>0.0012844524330938</c:v>
                </c:pt>
                <c:pt idx="6">
                  <c:v>0.308235319481552</c:v>
                </c:pt>
                <c:pt idx="7">
                  <c:v>0.0192905967099662</c:v>
                </c:pt>
                <c:pt idx="8">
                  <c:v>0.00355570248187708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'Stencil Nodes'!N1</c:f>
              <c:strCache>
                <c:ptCount val="1"/>
                <c:pt idx="0">
                  <c:v>Lu_exact - F max_residual_rel</c:v>
                </c:pt>
              </c:strCache>
            </c:strRef>
          </c:tx>
          <c:spPr>
            <a:solidFill>
              <a:srgbClr val="d62728"/>
            </a:solidFill>
            <a:ln w="20160">
              <a:solidFill>
                <a:srgbClr val="d62728"/>
              </a:solidFill>
              <a:round/>
            </a:ln>
          </c:spPr>
          <c:marker>
            <c:symbol val="circle"/>
            <c:size val="6"/>
            <c:spPr>
              <a:solidFill>
                <a:srgbClr val="d6272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'Stencil Nodes'!$Q$2:$Q$10</c:f>
              <c:numCache>
                <c:formatCode>General</c:formatCode>
                <c:ptCount val="9"/>
                <c:pt idx="0">
                  <c:v>5</c:v>
                </c:pt>
                <c:pt idx="1">
                  <c:v>7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40</c:v>
                </c:pt>
                <c:pt idx="7">
                  <c:v>50</c:v>
                </c:pt>
                <c:pt idx="8">
                  <c:v>65</c:v>
                </c:pt>
              </c:numCache>
            </c:numRef>
          </c:xVal>
          <c:yVal>
            <c:numRef>
              <c:f>'Stencil Nodes'!$N$2:$N$10</c:f>
              <c:numCache>
                <c:formatCode>General</c:formatCode>
                <c:ptCount val="9"/>
                <c:pt idx="0">
                  <c:v>2.70680643915973E-005</c:v>
                </c:pt>
                <c:pt idx="1">
                  <c:v>2.70883849863011E-005</c:v>
                </c:pt>
                <c:pt idx="2">
                  <c:v>8.35905370346545E-005</c:v>
                </c:pt>
                <c:pt idx="3">
                  <c:v>0.000121360530638407</c:v>
                </c:pt>
                <c:pt idx="4">
                  <c:v>0.000189280936989612</c:v>
                </c:pt>
                <c:pt idx="5">
                  <c:v>0.000440739804408719</c:v>
                </c:pt>
                <c:pt idx="6">
                  <c:v>0.000903477103819327</c:v>
                </c:pt>
                <c:pt idx="7">
                  <c:v>0.000296271738158157</c:v>
                </c:pt>
                <c:pt idx="8">
                  <c:v>0.000292329696005446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'Stencil Nodes'!O1</c:f>
              <c:strCache>
                <c:ptCount val="1"/>
                <c:pt idx="0">
                  <c:v>Lu_exact - F l2_residual_rel</c:v>
                </c:pt>
              </c:strCache>
            </c:strRef>
          </c:tx>
          <c:spPr>
            <a:solidFill>
              <a:srgbClr val="9467bd"/>
            </a:solidFill>
            <a:ln w="20160">
              <a:solidFill>
                <a:srgbClr val="9467bd"/>
              </a:solidFill>
              <a:round/>
            </a:ln>
          </c:spPr>
          <c:marker>
            <c:symbol val="circle"/>
            <c:size val="6"/>
            <c:spPr>
              <a:solidFill>
                <a:srgbClr val="9467b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'Stencil Nodes'!$Q$2:$Q$10</c:f>
              <c:numCache>
                <c:formatCode>General</c:formatCode>
                <c:ptCount val="9"/>
                <c:pt idx="0">
                  <c:v>5</c:v>
                </c:pt>
                <c:pt idx="1">
                  <c:v>7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40</c:v>
                </c:pt>
                <c:pt idx="7">
                  <c:v>50</c:v>
                </c:pt>
                <c:pt idx="8">
                  <c:v>65</c:v>
                </c:pt>
              </c:numCache>
            </c:numRef>
          </c:xVal>
          <c:yVal>
            <c:numRef>
              <c:f>'Stencil Nodes'!$O$2:$O$10</c:f>
              <c:numCache>
                <c:formatCode>General</c:formatCode>
                <c:ptCount val="9"/>
                <c:pt idx="0">
                  <c:v>3.39392022331379E-005</c:v>
                </c:pt>
                <c:pt idx="1">
                  <c:v>3.39085741214827E-005</c:v>
                </c:pt>
                <c:pt idx="2">
                  <c:v>9.35479214845573E-005</c:v>
                </c:pt>
                <c:pt idx="3">
                  <c:v>9.3586806875702E-005</c:v>
                </c:pt>
                <c:pt idx="4">
                  <c:v>0.000115924664277887</c:v>
                </c:pt>
                <c:pt idx="5">
                  <c:v>0.000250044096819048</c:v>
                </c:pt>
                <c:pt idx="6">
                  <c:v>0.000187386569105521</c:v>
                </c:pt>
                <c:pt idx="7">
                  <c:v>0.00026362383267627</c:v>
                </c:pt>
                <c:pt idx="8">
                  <c:v>0.000293878656262551</c:v>
                </c:pt>
              </c:numCache>
            </c:numRef>
          </c:yVal>
          <c:smooth val="0"/>
        </c:ser>
        <c:axId val="62142241"/>
        <c:axId val="47635547"/>
      </c:scatterChart>
      <c:valAx>
        <c:axId val="62142241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num_stencil_nodes (varied value)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7635547"/>
        <c:crosses val="autoZero"/>
        <c:crossBetween val="midCat"/>
      </c:valAx>
      <c:valAx>
        <c:axId val="47635547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Relative Error / Residual (log scale)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2142241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Center Rings: Relative Errors &amp; Residuals vs num_rings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'Center Rings'!K1</c:f>
              <c:strCache>
                <c:ptCount val="1"/>
                <c:pt idx="0">
                  <c:v>u_exact - u max_error_rel</c:v>
                </c:pt>
              </c:strCache>
            </c:strRef>
          </c:tx>
          <c:spPr>
            <a:solidFill>
              <a:srgbClr val="1f77b4"/>
            </a:solidFill>
            <a:ln w="20160">
              <a:solidFill>
                <a:srgbClr val="1f77b4"/>
              </a:solidFill>
              <a:round/>
            </a:ln>
          </c:spPr>
          <c:marker>
            <c:symbol val="circle"/>
            <c:size val="6"/>
            <c:spPr>
              <a:solidFill>
                <a:srgbClr val="1f77b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'Center Rings'!$Q$2:$Q$11</c:f>
              <c:numCache>
                <c:formatCode>General</c:formatCode>
                <c:ptCount val="10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</c:numCache>
            </c:numRef>
          </c:xVal>
          <c:yVal>
            <c:numRef>
              <c:f>'Center Rings'!$K$2:$K$11</c:f>
              <c:numCache>
                <c:formatCode>General</c:formatCode>
                <c:ptCount val="10"/>
                <c:pt idx="0">
                  <c:v>4.60965484577719E-005</c:v>
                </c:pt>
                <c:pt idx="1">
                  <c:v>4.59921827240388E-005</c:v>
                </c:pt>
                <c:pt idx="2">
                  <c:v>4.61280161423662E-005</c:v>
                </c:pt>
                <c:pt idx="3">
                  <c:v>4.6090260835988E-005</c:v>
                </c:pt>
                <c:pt idx="4">
                  <c:v>4.61664133465153E-005</c:v>
                </c:pt>
                <c:pt idx="5">
                  <c:v>4.61588479121116E-005</c:v>
                </c:pt>
                <c:pt idx="6">
                  <c:v>4.61446875744548E-005</c:v>
                </c:pt>
                <c:pt idx="7">
                  <c:v>4.61131251040945E-005</c:v>
                </c:pt>
                <c:pt idx="8">
                  <c:v>4.61837292043091E-005</c:v>
                </c:pt>
                <c:pt idx="9">
                  <c:v>4.62465328886746E-005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'Center Rings'!L1</c:f>
              <c:strCache>
                <c:ptCount val="1"/>
                <c:pt idx="0">
                  <c:v>u_exact - u l2_error_rel</c:v>
                </c:pt>
              </c:strCache>
            </c:strRef>
          </c:tx>
          <c:spPr>
            <a:solidFill>
              <a:srgbClr val="ff7f0e"/>
            </a:solidFill>
            <a:ln w="20160">
              <a:solidFill>
                <a:srgbClr val="ff7f0e"/>
              </a:solidFill>
              <a:round/>
            </a:ln>
          </c:spPr>
          <c:marker>
            <c:symbol val="circle"/>
            <c:size val="6"/>
            <c:spPr>
              <a:solidFill>
                <a:srgbClr val="ff7f0e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'Center Rings'!$Q$2:$Q$11</c:f>
              <c:numCache>
                <c:formatCode>General</c:formatCode>
                <c:ptCount val="10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</c:numCache>
            </c:numRef>
          </c:xVal>
          <c:yVal>
            <c:numRef>
              <c:f>'Center Rings'!$L$2:$L$11</c:f>
              <c:numCache>
                <c:formatCode>General</c:formatCode>
                <c:ptCount val="10"/>
                <c:pt idx="0">
                  <c:v>4.20694443780682E-005</c:v>
                </c:pt>
                <c:pt idx="1">
                  <c:v>4.1970585394548E-005</c:v>
                </c:pt>
                <c:pt idx="2">
                  <c:v>4.20573948758578E-005</c:v>
                </c:pt>
                <c:pt idx="3">
                  <c:v>4.2062710435414E-005</c:v>
                </c:pt>
                <c:pt idx="4">
                  <c:v>4.21346451576004E-005</c:v>
                </c:pt>
                <c:pt idx="5">
                  <c:v>4.21271147665448E-005</c:v>
                </c:pt>
                <c:pt idx="6">
                  <c:v>4.21135263474488E-005</c:v>
                </c:pt>
                <c:pt idx="7">
                  <c:v>4.2083232490242E-005</c:v>
                </c:pt>
                <c:pt idx="8">
                  <c:v>4.21423576085559E-005</c:v>
                </c:pt>
                <c:pt idx="9">
                  <c:v>4.21824180990263E-005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'Center Rings'!M1</c:f>
              <c:strCache>
                <c:ptCount val="1"/>
                <c:pt idx="0">
                  <c:v>energy_error_rel</c:v>
                </c:pt>
              </c:strCache>
            </c:strRef>
          </c:tx>
          <c:spPr>
            <a:solidFill>
              <a:srgbClr val="2ca02c"/>
            </a:solidFill>
            <a:ln w="20160">
              <a:solidFill>
                <a:srgbClr val="2ca02c"/>
              </a:solidFill>
              <a:round/>
            </a:ln>
          </c:spPr>
          <c:marker>
            <c:symbol val="circle"/>
            <c:size val="6"/>
            <c:spPr>
              <a:solidFill>
                <a:srgbClr val="2ca02c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'Center Rings'!$Q$2:$Q$11</c:f>
              <c:numCache>
                <c:formatCode>General</c:formatCode>
                <c:ptCount val="10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</c:numCache>
            </c:numRef>
          </c:xVal>
          <c:yVal>
            <c:numRef>
              <c:f>'Center Rings'!$M$2:$M$11</c:f>
              <c:numCache>
                <c:formatCode>General</c:formatCode>
                <c:ptCount val="10"/>
                <c:pt idx="0">
                  <c:v>4.07165538795466E-005</c:v>
                </c:pt>
                <c:pt idx="1">
                  <c:v>4.06242400302602E-005</c:v>
                </c:pt>
                <c:pt idx="2">
                  <c:v>4.07053947544666E-005</c:v>
                </c:pt>
                <c:pt idx="3">
                  <c:v>4.07102524816257E-005</c:v>
                </c:pt>
                <c:pt idx="4">
                  <c:v>4.07775733626889E-005</c:v>
                </c:pt>
                <c:pt idx="5">
                  <c:v>4.07704455769827E-005</c:v>
                </c:pt>
                <c:pt idx="6">
                  <c:v>4.07577819590496E-005</c:v>
                </c:pt>
                <c:pt idx="7">
                  <c:v>4.0729467204929E-005</c:v>
                </c:pt>
                <c:pt idx="8">
                  <c:v>4.07847901816637E-005</c:v>
                </c:pt>
                <c:pt idx="9">
                  <c:v>4.08222827619044E-005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'Center Rings'!N1</c:f>
              <c:strCache>
                <c:ptCount val="1"/>
                <c:pt idx="0">
                  <c:v>Lu_exact - F max_residual_rel</c:v>
                </c:pt>
              </c:strCache>
            </c:strRef>
          </c:tx>
          <c:spPr>
            <a:solidFill>
              <a:srgbClr val="d62728"/>
            </a:solidFill>
            <a:ln w="20160">
              <a:solidFill>
                <a:srgbClr val="d62728"/>
              </a:solidFill>
              <a:round/>
            </a:ln>
          </c:spPr>
          <c:marker>
            <c:symbol val="circle"/>
            <c:size val="6"/>
            <c:spPr>
              <a:solidFill>
                <a:srgbClr val="d6272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'Center Rings'!$Q$2:$Q$11</c:f>
              <c:numCache>
                <c:formatCode>General</c:formatCode>
                <c:ptCount val="10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</c:numCache>
            </c:numRef>
          </c:xVal>
          <c:yVal>
            <c:numRef>
              <c:f>'Center Rings'!$N$2:$N$11</c:f>
              <c:numCache>
                <c:formatCode>General</c:formatCode>
                <c:ptCount val="10"/>
                <c:pt idx="0">
                  <c:v>2.70680643915973E-005</c:v>
                </c:pt>
                <c:pt idx="1">
                  <c:v>2.70229749869404E-005</c:v>
                </c:pt>
                <c:pt idx="2">
                  <c:v>2.71257830660084E-005</c:v>
                </c:pt>
                <c:pt idx="3">
                  <c:v>2.70647933408463E-005</c:v>
                </c:pt>
                <c:pt idx="4">
                  <c:v>2.70984512154495E-005</c:v>
                </c:pt>
                <c:pt idx="5">
                  <c:v>2.70965046558781E-005</c:v>
                </c:pt>
                <c:pt idx="6">
                  <c:v>2.70904246832762E-005</c:v>
                </c:pt>
                <c:pt idx="7">
                  <c:v>2.70761766102274E-005</c:v>
                </c:pt>
                <c:pt idx="8">
                  <c:v>2.71064032384389E-005</c:v>
                </c:pt>
                <c:pt idx="9">
                  <c:v>2.71345640922141E-005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'Center Rings'!O1</c:f>
              <c:strCache>
                <c:ptCount val="1"/>
                <c:pt idx="0">
                  <c:v>Lu_exact - F l2_residual_rel</c:v>
                </c:pt>
              </c:strCache>
            </c:strRef>
          </c:tx>
          <c:spPr>
            <a:solidFill>
              <a:srgbClr val="9467bd"/>
            </a:solidFill>
            <a:ln w="20160">
              <a:solidFill>
                <a:srgbClr val="9467bd"/>
              </a:solidFill>
              <a:round/>
            </a:ln>
          </c:spPr>
          <c:marker>
            <c:symbol val="circle"/>
            <c:size val="6"/>
            <c:spPr>
              <a:solidFill>
                <a:srgbClr val="9467b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'Center Rings'!$Q$2:$Q$11</c:f>
              <c:numCache>
                <c:formatCode>General</c:formatCode>
                <c:ptCount val="10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</c:numCache>
            </c:numRef>
          </c:xVal>
          <c:yVal>
            <c:numRef>
              <c:f>'Center Rings'!$O$2:$O$11</c:f>
              <c:numCache>
                <c:formatCode>General</c:formatCode>
                <c:ptCount val="10"/>
                <c:pt idx="0">
                  <c:v>3.39392022331379E-005</c:v>
                </c:pt>
                <c:pt idx="1">
                  <c:v>3.38817241891866E-005</c:v>
                </c:pt>
                <c:pt idx="2">
                  <c:v>3.39328021831181E-005</c:v>
                </c:pt>
                <c:pt idx="3">
                  <c:v>3.39351995048459E-005</c:v>
                </c:pt>
                <c:pt idx="4">
                  <c:v>3.39780006654654E-005</c:v>
                </c:pt>
                <c:pt idx="5">
                  <c:v>3.39729881345446E-005</c:v>
                </c:pt>
                <c:pt idx="6">
                  <c:v>3.39652557027733E-005</c:v>
                </c:pt>
                <c:pt idx="7">
                  <c:v>3.39474697847277E-005</c:v>
                </c:pt>
                <c:pt idx="8">
                  <c:v>3.39825824911547E-005</c:v>
                </c:pt>
                <c:pt idx="9">
                  <c:v>3.40064215679003E-005</c:v>
                </c:pt>
              </c:numCache>
            </c:numRef>
          </c:yVal>
          <c:smooth val="0"/>
        </c:ser>
        <c:axId val="7990437"/>
        <c:axId val="5814210"/>
      </c:scatterChart>
      <c:valAx>
        <c:axId val="7990437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num_rings (varied value)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814210"/>
        <c:crosses val="autoZero"/>
        <c:crossBetween val="midCat"/>
      </c:valAx>
      <c:valAx>
        <c:axId val="5814210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Relative Error / Residual (log scale)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990437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Eigenvalue Ratio: Relative Errors &amp; Residuals vs eig_2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'Eigenvalue Ratio'!K1</c:f>
              <c:strCache>
                <c:ptCount val="1"/>
                <c:pt idx="0">
                  <c:v>u_exact - u max_error_rel</c:v>
                </c:pt>
              </c:strCache>
            </c:strRef>
          </c:tx>
          <c:spPr>
            <a:solidFill>
              <a:srgbClr val="1f77b4"/>
            </a:solidFill>
            <a:ln w="20160">
              <a:solidFill>
                <a:srgbClr val="1f77b4"/>
              </a:solidFill>
              <a:round/>
            </a:ln>
          </c:spPr>
          <c:marker>
            <c:symbol val="circle"/>
            <c:size val="6"/>
            <c:spPr>
              <a:solidFill>
                <a:srgbClr val="1f77b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'Eigenvalue Ratio'!$Q$2:$Q$14</c:f>
              <c:numCache>
                <c:formatCode>General</c:formatCode>
                <c:ptCount val="13"/>
                <c:pt idx="0">
                  <c:v>10</c:v>
                </c:pt>
                <c:pt idx="1">
                  <c:v>5</c:v>
                </c:pt>
                <c:pt idx="2">
                  <c:v>1</c:v>
                </c:pt>
                <c:pt idx="3">
                  <c:v>0.5</c:v>
                </c:pt>
                <c:pt idx="4">
                  <c:v>0.1</c:v>
                </c:pt>
                <c:pt idx="5">
                  <c:v>0.05</c:v>
                </c:pt>
                <c:pt idx="6">
                  <c:v>0.01</c:v>
                </c:pt>
                <c:pt idx="7">
                  <c:v>0.005</c:v>
                </c:pt>
                <c:pt idx="8">
                  <c:v>0.001</c:v>
                </c:pt>
                <c:pt idx="9">
                  <c:v>0.0005</c:v>
                </c:pt>
                <c:pt idx="10">
                  <c:v>0.0001</c:v>
                </c:pt>
                <c:pt idx="11">
                  <c:v>5E-005</c:v>
                </c:pt>
                <c:pt idx="12">
                  <c:v>1E-005</c:v>
                </c:pt>
              </c:numCache>
            </c:numRef>
          </c:xVal>
          <c:yVal>
            <c:numRef>
              <c:f>'Eigenvalue Ratio'!$K$2:$K$14</c:f>
              <c:numCache>
                <c:formatCode>General</c:formatCode>
                <c:ptCount val="13"/>
                <c:pt idx="0">
                  <c:v>1.57676193382411E-005</c:v>
                </c:pt>
                <c:pt idx="1">
                  <c:v>7.88016626043145E-006</c:v>
                </c:pt>
                <c:pt idx="2">
                  <c:v>2.88165886202372E-005</c:v>
                </c:pt>
                <c:pt idx="3">
                  <c:v>2.39019429036784E-005</c:v>
                </c:pt>
                <c:pt idx="4">
                  <c:v>1.57510797096426E-005</c:v>
                </c:pt>
                <c:pt idx="5">
                  <c:v>2.63814249317347E-005</c:v>
                </c:pt>
                <c:pt idx="6">
                  <c:v>4.1275925544242E-005</c:v>
                </c:pt>
                <c:pt idx="7">
                  <c:v>4.38609456006563E-005</c:v>
                </c:pt>
                <c:pt idx="8">
                  <c:v>4.60965484577719E-005</c:v>
                </c:pt>
                <c:pt idx="9">
                  <c:v>4.63873048629213E-005</c:v>
                </c:pt>
                <c:pt idx="10">
                  <c:v>4.66217908259932E-005</c:v>
                </c:pt>
                <c:pt idx="11">
                  <c:v>4.66512216947971E-005</c:v>
                </c:pt>
                <c:pt idx="12">
                  <c:v>4.66747908908312E-005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'Eigenvalue Ratio'!L1</c:f>
              <c:strCache>
                <c:ptCount val="1"/>
                <c:pt idx="0">
                  <c:v>u_exact - u l2_error_rel</c:v>
                </c:pt>
              </c:strCache>
            </c:strRef>
          </c:tx>
          <c:spPr>
            <a:solidFill>
              <a:srgbClr val="ff7f0e"/>
            </a:solidFill>
            <a:ln w="20160">
              <a:solidFill>
                <a:srgbClr val="ff7f0e"/>
              </a:solidFill>
              <a:round/>
            </a:ln>
          </c:spPr>
          <c:marker>
            <c:symbol val="circle"/>
            <c:size val="6"/>
            <c:spPr>
              <a:solidFill>
                <a:srgbClr val="ff7f0e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'Eigenvalue Ratio'!$Q$2:$Q$14</c:f>
              <c:numCache>
                <c:formatCode>General</c:formatCode>
                <c:ptCount val="13"/>
                <c:pt idx="0">
                  <c:v>10</c:v>
                </c:pt>
                <c:pt idx="1">
                  <c:v>5</c:v>
                </c:pt>
                <c:pt idx="2">
                  <c:v>1</c:v>
                </c:pt>
                <c:pt idx="3">
                  <c:v>0.5</c:v>
                </c:pt>
                <c:pt idx="4">
                  <c:v>0.1</c:v>
                </c:pt>
                <c:pt idx="5">
                  <c:v>0.05</c:v>
                </c:pt>
                <c:pt idx="6">
                  <c:v>0.01</c:v>
                </c:pt>
                <c:pt idx="7">
                  <c:v>0.005</c:v>
                </c:pt>
                <c:pt idx="8">
                  <c:v>0.001</c:v>
                </c:pt>
                <c:pt idx="9">
                  <c:v>0.0005</c:v>
                </c:pt>
                <c:pt idx="10">
                  <c:v>0.0001</c:v>
                </c:pt>
                <c:pt idx="11">
                  <c:v>5E-005</c:v>
                </c:pt>
                <c:pt idx="12">
                  <c:v>1E-005</c:v>
                </c:pt>
              </c:numCache>
            </c:numRef>
          </c:xVal>
          <c:yVal>
            <c:numRef>
              <c:f>'Eigenvalue Ratio'!$L$2:$L$14</c:f>
              <c:numCache>
                <c:formatCode>General</c:formatCode>
                <c:ptCount val="13"/>
                <c:pt idx="0">
                  <c:v>1.23764204468896E-005</c:v>
                </c:pt>
                <c:pt idx="1">
                  <c:v>6.24793808421061E-006</c:v>
                </c:pt>
                <c:pt idx="2">
                  <c:v>1.62101391826622E-005</c:v>
                </c:pt>
                <c:pt idx="3">
                  <c:v>1.34811965373703E-005</c:v>
                </c:pt>
                <c:pt idx="4">
                  <c:v>1.23629412998957E-005</c:v>
                </c:pt>
                <c:pt idx="5">
                  <c:v>2.24760128533223E-005</c:v>
                </c:pt>
                <c:pt idx="6">
                  <c:v>3.7252345120549E-005</c:v>
                </c:pt>
                <c:pt idx="7">
                  <c:v>3.9835188980806E-005</c:v>
                </c:pt>
                <c:pt idx="8">
                  <c:v>4.20694443780682E-005</c:v>
                </c:pt>
                <c:pt idx="9">
                  <c:v>4.23601121579278E-005</c:v>
                </c:pt>
                <c:pt idx="10">
                  <c:v>4.25945399355573E-005</c:v>
                </c:pt>
                <c:pt idx="11">
                  <c:v>4.26239630279393E-005</c:v>
                </c:pt>
                <c:pt idx="12">
                  <c:v>4.26475258195076E-005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'Eigenvalue Ratio'!M1</c:f>
              <c:strCache>
                <c:ptCount val="1"/>
                <c:pt idx="0">
                  <c:v>energy_error_rel</c:v>
                </c:pt>
              </c:strCache>
            </c:strRef>
          </c:tx>
          <c:spPr>
            <a:solidFill>
              <a:srgbClr val="2ca02c"/>
            </a:solidFill>
            <a:ln w="20160">
              <a:solidFill>
                <a:srgbClr val="2ca02c"/>
              </a:solidFill>
              <a:round/>
            </a:ln>
          </c:spPr>
          <c:marker>
            <c:symbol val="circle"/>
            <c:size val="6"/>
            <c:spPr>
              <a:solidFill>
                <a:srgbClr val="2ca02c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'Eigenvalue Ratio'!$Q$2:$Q$14</c:f>
              <c:numCache>
                <c:formatCode>General</c:formatCode>
                <c:ptCount val="13"/>
                <c:pt idx="0">
                  <c:v>10</c:v>
                </c:pt>
                <c:pt idx="1">
                  <c:v>5</c:v>
                </c:pt>
                <c:pt idx="2">
                  <c:v>1</c:v>
                </c:pt>
                <c:pt idx="3">
                  <c:v>0.5</c:v>
                </c:pt>
                <c:pt idx="4">
                  <c:v>0.1</c:v>
                </c:pt>
                <c:pt idx="5">
                  <c:v>0.05</c:v>
                </c:pt>
                <c:pt idx="6">
                  <c:v>0.01</c:v>
                </c:pt>
                <c:pt idx="7">
                  <c:v>0.005</c:v>
                </c:pt>
                <c:pt idx="8">
                  <c:v>0.001</c:v>
                </c:pt>
                <c:pt idx="9">
                  <c:v>0.0005</c:v>
                </c:pt>
                <c:pt idx="10">
                  <c:v>0.0001</c:v>
                </c:pt>
                <c:pt idx="11">
                  <c:v>5E-005</c:v>
                </c:pt>
                <c:pt idx="12">
                  <c:v>1E-005</c:v>
                </c:pt>
              </c:numCache>
            </c:numRef>
          </c:xVal>
          <c:yVal>
            <c:numRef>
              <c:f>'Eigenvalue Ratio'!$M$2:$M$14</c:f>
              <c:numCache>
                <c:formatCode>General</c:formatCode>
                <c:ptCount val="13"/>
                <c:pt idx="0">
                  <c:v>1.40957460286771E-005</c:v>
                </c:pt>
                <c:pt idx="1">
                  <c:v>1.03273624981117E-005</c:v>
                </c:pt>
                <c:pt idx="2">
                  <c:v>1.62101391824273E-005</c:v>
                </c:pt>
                <c:pt idx="3">
                  <c:v>1.45362498066376E-005</c:v>
                </c:pt>
                <c:pt idx="4">
                  <c:v>1.40858471306068E-005</c:v>
                </c:pt>
                <c:pt idx="5">
                  <c:v>2.24684687605449E-005</c:v>
                </c:pt>
                <c:pt idx="6">
                  <c:v>3.61245569495373E-005</c:v>
                </c:pt>
                <c:pt idx="7">
                  <c:v>3.85813036463638E-005</c:v>
                </c:pt>
                <c:pt idx="8">
                  <c:v>4.07165538795466E-005</c:v>
                </c:pt>
                <c:pt idx="9">
                  <c:v>4.09949585694019E-005</c:v>
                </c:pt>
                <c:pt idx="10">
                  <c:v>4.12195940053713E-005</c:v>
                </c:pt>
                <c:pt idx="11">
                  <c:v>4.12477941318129E-005</c:v>
                </c:pt>
                <c:pt idx="12">
                  <c:v>4.12703784574326E-005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'Eigenvalue Ratio'!N1</c:f>
              <c:strCache>
                <c:ptCount val="1"/>
                <c:pt idx="0">
                  <c:v>Lu_exact - F max_residual_rel</c:v>
                </c:pt>
              </c:strCache>
            </c:strRef>
          </c:tx>
          <c:spPr>
            <a:solidFill>
              <a:srgbClr val="d62728"/>
            </a:solidFill>
            <a:ln w="20160">
              <a:solidFill>
                <a:srgbClr val="d62728"/>
              </a:solidFill>
              <a:round/>
            </a:ln>
          </c:spPr>
          <c:marker>
            <c:symbol val="circle"/>
            <c:size val="6"/>
            <c:spPr>
              <a:solidFill>
                <a:srgbClr val="d6272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'Eigenvalue Ratio'!$Q$2:$Q$14</c:f>
              <c:numCache>
                <c:formatCode>General</c:formatCode>
                <c:ptCount val="13"/>
                <c:pt idx="0">
                  <c:v>10</c:v>
                </c:pt>
                <c:pt idx="1">
                  <c:v>5</c:v>
                </c:pt>
                <c:pt idx="2">
                  <c:v>1</c:v>
                </c:pt>
                <c:pt idx="3">
                  <c:v>0.5</c:v>
                </c:pt>
                <c:pt idx="4">
                  <c:v>0.1</c:v>
                </c:pt>
                <c:pt idx="5">
                  <c:v>0.05</c:v>
                </c:pt>
                <c:pt idx="6">
                  <c:v>0.01</c:v>
                </c:pt>
                <c:pt idx="7">
                  <c:v>0.005</c:v>
                </c:pt>
                <c:pt idx="8">
                  <c:v>0.001</c:v>
                </c:pt>
                <c:pt idx="9">
                  <c:v>0.0005</c:v>
                </c:pt>
                <c:pt idx="10">
                  <c:v>0.0001</c:v>
                </c:pt>
                <c:pt idx="11">
                  <c:v>5E-005</c:v>
                </c:pt>
                <c:pt idx="12">
                  <c:v>1E-005</c:v>
                </c:pt>
              </c:numCache>
            </c:numRef>
          </c:xVal>
          <c:yVal>
            <c:numRef>
              <c:f>'Eigenvalue Ratio'!$N$2:$N$14</c:f>
              <c:numCache>
                <c:formatCode>General</c:formatCode>
                <c:ptCount val="13"/>
                <c:pt idx="0">
                  <c:v>1.40974599871961E-005</c:v>
                </c:pt>
                <c:pt idx="1">
                  <c:v>1.08416156125332E-005</c:v>
                </c:pt>
                <c:pt idx="2">
                  <c:v>1.62105133896753E-005</c:v>
                </c:pt>
                <c:pt idx="3">
                  <c:v>1.50811072536251E-005</c:v>
                </c:pt>
                <c:pt idx="4">
                  <c:v>1.40937465051557E-005</c:v>
                </c:pt>
                <c:pt idx="5">
                  <c:v>1.7284933718759E-005</c:v>
                </c:pt>
                <c:pt idx="6">
                  <c:v>2.46649307590577E-005</c:v>
                </c:pt>
                <c:pt idx="7">
                  <c:v>2.59542670577583E-005</c:v>
                </c:pt>
                <c:pt idx="8">
                  <c:v>2.70680643915973E-005</c:v>
                </c:pt>
                <c:pt idx="9">
                  <c:v>2.72128939479138E-005</c:v>
                </c:pt>
                <c:pt idx="10">
                  <c:v>2.7329991165337E-005</c:v>
                </c:pt>
                <c:pt idx="11">
                  <c:v>2.73446862951948E-005</c:v>
                </c:pt>
                <c:pt idx="12">
                  <c:v>2.73564532029539E-005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'Eigenvalue Ratio'!O1</c:f>
              <c:strCache>
                <c:ptCount val="1"/>
                <c:pt idx="0">
                  <c:v>Lu_exact - F l2_residual_rel</c:v>
                </c:pt>
              </c:strCache>
            </c:strRef>
          </c:tx>
          <c:spPr>
            <a:solidFill>
              <a:srgbClr val="9467bd"/>
            </a:solidFill>
            <a:ln w="20160">
              <a:solidFill>
                <a:srgbClr val="9467bd"/>
              </a:solidFill>
              <a:round/>
            </a:ln>
          </c:spPr>
          <c:marker>
            <c:symbol val="circle"/>
            <c:size val="6"/>
            <c:spPr>
              <a:solidFill>
                <a:srgbClr val="9467b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'Eigenvalue Ratio'!$Q$2:$Q$14</c:f>
              <c:numCache>
                <c:formatCode>General</c:formatCode>
                <c:ptCount val="13"/>
                <c:pt idx="0">
                  <c:v>10</c:v>
                </c:pt>
                <c:pt idx="1">
                  <c:v>5</c:v>
                </c:pt>
                <c:pt idx="2">
                  <c:v>1</c:v>
                </c:pt>
                <c:pt idx="3">
                  <c:v>0.5</c:v>
                </c:pt>
                <c:pt idx="4">
                  <c:v>0.1</c:v>
                </c:pt>
                <c:pt idx="5">
                  <c:v>0.05</c:v>
                </c:pt>
                <c:pt idx="6">
                  <c:v>0.01</c:v>
                </c:pt>
                <c:pt idx="7">
                  <c:v>0.005</c:v>
                </c:pt>
                <c:pt idx="8">
                  <c:v>0.001</c:v>
                </c:pt>
                <c:pt idx="9">
                  <c:v>0.0005</c:v>
                </c:pt>
                <c:pt idx="10">
                  <c:v>0.0001</c:v>
                </c:pt>
                <c:pt idx="11">
                  <c:v>5E-005</c:v>
                </c:pt>
                <c:pt idx="12">
                  <c:v>1E-005</c:v>
                </c:pt>
              </c:numCache>
            </c:numRef>
          </c:xVal>
          <c:yVal>
            <c:numRef>
              <c:f>'Eigenvalue Ratio'!$O$2:$O$14</c:f>
              <c:numCache>
                <c:formatCode>General</c:formatCode>
                <c:ptCount val="13"/>
                <c:pt idx="0">
                  <c:v>1.76763902416949E-005</c:v>
                </c:pt>
                <c:pt idx="1">
                  <c:v>1.5101258100697E-005</c:v>
                </c:pt>
                <c:pt idx="2">
                  <c:v>1.62104019710973E-005</c:v>
                </c:pt>
                <c:pt idx="3">
                  <c:v>1.5665203304478E-005</c:v>
                </c:pt>
                <c:pt idx="4">
                  <c:v>1.76723523330642E-005</c:v>
                </c:pt>
                <c:pt idx="5">
                  <c:v>2.24443027157092E-005</c:v>
                </c:pt>
                <c:pt idx="6">
                  <c:v>3.0949509723815E-005</c:v>
                </c:pt>
                <c:pt idx="7">
                  <c:v>3.25432011757772E-005</c:v>
                </c:pt>
                <c:pt idx="8">
                  <c:v>3.39392022331379E-005</c:v>
                </c:pt>
                <c:pt idx="9">
                  <c:v>3.41218999571264E-005</c:v>
                </c:pt>
                <c:pt idx="10">
                  <c:v>3.42694215754588E-005</c:v>
                </c:pt>
                <c:pt idx="11">
                  <c:v>3.42879474748084E-005</c:v>
                </c:pt>
                <c:pt idx="12">
                  <c:v>3.43027852802838E-005</c:v>
                </c:pt>
              </c:numCache>
            </c:numRef>
          </c:yVal>
          <c:smooth val="0"/>
        </c:ser>
        <c:axId val="77182985"/>
        <c:axId val="17125539"/>
      </c:scatterChart>
      <c:valAx>
        <c:axId val="77182985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eig_2 (varied value)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7125539"/>
        <c:crosses val="autoZero"/>
        <c:crossBetween val="midCat"/>
      </c:valAx>
      <c:valAx>
        <c:axId val="17125539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Relative Error / Residual (log scale)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7182985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Eigenvector Angle: Relative Errors &amp; Residuals vs rad24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'Eigenvector Angle'!K1</c:f>
              <c:strCache>
                <c:ptCount val="1"/>
                <c:pt idx="0">
                  <c:v>u_exact - u max_error_rel</c:v>
                </c:pt>
              </c:strCache>
            </c:strRef>
          </c:tx>
          <c:spPr>
            <a:solidFill>
              <a:srgbClr val="1f77b4"/>
            </a:solidFill>
            <a:ln w="20160">
              <a:solidFill>
                <a:srgbClr val="1f77b4"/>
              </a:solidFill>
              <a:round/>
            </a:ln>
          </c:spPr>
          <c:marker>
            <c:symbol val="circle"/>
            <c:size val="6"/>
            <c:spPr>
              <a:solidFill>
                <a:srgbClr val="1f77b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'Eigenvector Angle'!$Q$2:$Q$10</c:f>
              <c:numCache>
                <c:formatCode>General</c:formatCode>
                <c:ptCount val="9"/>
                <c:pt idx="0">
                  <c:v>0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12</c:v>
                </c:pt>
                <c:pt idx="5">
                  <c:v>16</c:v>
                </c:pt>
                <c:pt idx="6">
                  <c:v>18</c:v>
                </c:pt>
                <c:pt idx="7">
                  <c:v>20</c:v>
                </c:pt>
                <c:pt idx="8">
                  <c:v>24</c:v>
                </c:pt>
              </c:numCache>
            </c:numRef>
          </c:xVal>
          <c:yVal>
            <c:numRef>
              <c:f>'Eigenvector Angle'!$K$2:$K$10</c:f>
              <c:numCache>
                <c:formatCode>General</c:formatCode>
                <c:ptCount val="9"/>
                <c:pt idx="0">
                  <c:v>4.61285040158147E-005</c:v>
                </c:pt>
                <c:pt idx="1">
                  <c:v>0.578627249238613</c:v>
                </c:pt>
                <c:pt idx="2">
                  <c:v>0.637804682439765</c:v>
                </c:pt>
                <c:pt idx="3">
                  <c:v>0.578627248273295</c:v>
                </c:pt>
                <c:pt idx="4">
                  <c:v>4.60965484577719E-005</c:v>
                </c:pt>
                <c:pt idx="5">
                  <c:v>0.578627248350688</c:v>
                </c:pt>
                <c:pt idx="6">
                  <c:v>0.637804682469128</c:v>
                </c:pt>
                <c:pt idx="7">
                  <c:v>0.578627249541716</c:v>
                </c:pt>
                <c:pt idx="8">
                  <c:v>4.61285040158147E-005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'Eigenvector Angle'!L1</c:f>
              <c:strCache>
                <c:ptCount val="1"/>
                <c:pt idx="0">
                  <c:v>u_exact - u l2_error_rel</c:v>
                </c:pt>
              </c:strCache>
            </c:strRef>
          </c:tx>
          <c:spPr>
            <a:solidFill>
              <a:srgbClr val="ff7f0e"/>
            </a:solidFill>
            <a:ln w="20160">
              <a:solidFill>
                <a:srgbClr val="ff7f0e"/>
              </a:solidFill>
              <a:round/>
            </a:ln>
          </c:spPr>
          <c:marker>
            <c:symbol val="circle"/>
            <c:size val="6"/>
            <c:spPr>
              <a:solidFill>
                <a:srgbClr val="ff7f0e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'Eigenvector Angle'!$Q$2:$Q$10</c:f>
              <c:numCache>
                <c:formatCode>General</c:formatCode>
                <c:ptCount val="9"/>
                <c:pt idx="0">
                  <c:v>0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12</c:v>
                </c:pt>
                <c:pt idx="5">
                  <c:v>16</c:v>
                </c:pt>
                <c:pt idx="6">
                  <c:v>18</c:v>
                </c:pt>
                <c:pt idx="7">
                  <c:v>20</c:v>
                </c:pt>
                <c:pt idx="8">
                  <c:v>24</c:v>
                </c:pt>
              </c:numCache>
            </c:numRef>
          </c:xVal>
          <c:yVal>
            <c:numRef>
              <c:f>'Eigenvector Angle'!$L$2:$L$10</c:f>
              <c:numCache>
                <c:formatCode>General</c:formatCode>
                <c:ptCount val="9"/>
                <c:pt idx="0">
                  <c:v>4.20988893841503E-005</c:v>
                </c:pt>
                <c:pt idx="1">
                  <c:v>0.418690172450838</c:v>
                </c:pt>
                <c:pt idx="2">
                  <c:v>0.482766461151281</c:v>
                </c:pt>
                <c:pt idx="3">
                  <c:v>0.418690171299203</c:v>
                </c:pt>
                <c:pt idx="4">
                  <c:v>4.20694443780682E-005</c:v>
                </c:pt>
                <c:pt idx="5">
                  <c:v>0.418690171297721</c:v>
                </c:pt>
                <c:pt idx="6">
                  <c:v>0.482766461136535</c:v>
                </c:pt>
                <c:pt idx="7">
                  <c:v>0.418690172465343</c:v>
                </c:pt>
                <c:pt idx="8">
                  <c:v>4.20988893841488E-005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'Eigenvector Angle'!M1</c:f>
              <c:strCache>
                <c:ptCount val="1"/>
                <c:pt idx="0">
                  <c:v>energy_error_rel</c:v>
                </c:pt>
              </c:strCache>
            </c:strRef>
          </c:tx>
          <c:spPr>
            <a:solidFill>
              <a:srgbClr val="2ca02c"/>
            </a:solidFill>
            <a:ln w="20160">
              <a:solidFill>
                <a:srgbClr val="2ca02c"/>
              </a:solidFill>
              <a:round/>
            </a:ln>
          </c:spPr>
          <c:marker>
            <c:symbol val="circle"/>
            <c:size val="6"/>
            <c:spPr>
              <a:solidFill>
                <a:srgbClr val="2ca02c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'Eigenvector Angle'!$Q$2:$Q$10</c:f>
              <c:numCache>
                <c:formatCode>General</c:formatCode>
                <c:ptCount val="9"/>
                <c:pt idx="0">
                  <c:v>0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12</c:v>
                </c:pt>
                <c:pt idx="5">
                  <c:v>16</c:v>
                </c:pt>
                <c:pt idx="6">
                  <c:v>18</c:v>
                </c:pt>
                <c:pt idx="7">
                  <c:v>20</c:v>
                </c:pt>
                <c:pt idx="8">
                  <c:v>24</c:v>
                </c:pt>
              </c:numCache>
            </c:numRef>
          </c:xVal>
          <c:yVal>
            <c:numRef>
              <c:f>'Eigenvector Angle'!$M$2:$M$10</c:f>
              <c:numCache>
                <c:formatCode>General</c:formatCode>
                <c:ptCount val="9"/>
                <c:pt idx="0">
                  <c:v>4.07441641307255E-005</c:v>
                </c:pt>
                <c:pt idx="1">
                  <c:v>0.493465807702004</c:v>
                </c:pt>
                <c:pt idx="2">
                  <c:v>0.476577623414806</c:v>
                </c:pt>
                <c:pt idx="3">
                  <c:v>0.493465750913468</c:v>
                </c:pt>
                <c:pt idx="4">
                  <c:v>4.07165538795466E-005</c:v>
                </c:pt>
                <c:pt idx="5">
                  <c:v>0.493465763434172</c:v>
                </c:pt>
                <c:pt idx="6">
                  <c:v>0.476577631565162</c:v>
                </c:pt>
                <c:pt idx="7">
                  <c:v>0.493465815871408</c:v>
                </c:pt>
                <c:pt idx="8">
                  <c:v>4.07441641307263E-005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'Eigenvector Angle'!N1</c:f>
              <c:strCache>
                <c:ptCount val="1"/>
                <c:pt idx="0">
                  <c:v>Lu_exact - F max_residual_rel</c:v>
                </c:pt>
              </c:strCache>
            </c:strRef>
          </c:tx>
          <c:spPr>
            <a:solidFill>
              <a:srgbClr val="d62728"/>
            </a:solidFill>
            <a:ln w="20160">
              <a:solidFill>
                <a:srgbClr val="d62728"/>
              </a:solidFill>
              <a:round/>
            </a:ln>
          </c:spPr>
          <c:marker>
            <c:symbol val="circle"/>
            <c:size val="6"/>
            <c:spPr>
              <a:solidFill>
                <a:srgbClr val="d6272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'Eigenvector Angle'!$Q$2:$Q$10</c:f>
              <c:numCache>
                <c:formatCode>General</c:formatCode>
                <c:ptCount val="9"/>
                <c:pt idx="0">
                  <c:v>0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12</c:v>
                </c:pt>
                <c:pt idx="5">
                  <c:v>16</c:v>
                </c:pt>
                <c:pt idx="6">
                  <c:v>18</c:v>
                </c:pt>
                <c:pt idx="7">
                  <c:v>20</c:v>
                </c:pt>
                <c:pt idx="8">
                  <c:v>24</c:v>
                </c:pt>
              </c:numCache>
            </c:numRef>
          </c:xVal>
          <c:yVal>
            <c:numRef>
              <c:f>'Eigenvector Angle'!$N$2:$N$10</c:f>
              <c:numCache>
                <c:formatCode>General</c:formatCode>
                <c:ptCount val="9"/>
                <c:pt idx="0">
                  <c:v>2.70832629282663E-005</c:v>
                </c:pt>
                <c:pt idx="1">
                  <c:v>0.616782381432446</c:v>
                </c:pt>
                <c:pt idx="2">
                  <c:v>0.598702332980415</c:v>
                </c:pt>
                <c:pt idx="3">
                  <c:v>0.616782381432938</c:v>
                </c:pt>
                <c:pt idx="4">
                  <c:v>2.70680643915973E-005</c:v>
                </c:pt>
                <c:pt idx="5">
                  <c:v>0.616782381432901</c:v>
                </c:pt>
                <c:pt idx="6">
                  <c:v>0.598702332980414</c:v>
                </c:pt>
                <c:pt idx="7">
                  <c:v>0.616782381432479</c:v>
                </c:pt>
                <c:pt idx="8">
                  <c:v>2.70832629282663E-005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'Eigenvector Angle'!O1</c:f>
              <c:strCache>
                <c:ptCount val="1"/>
                <c:pt idx="0">
                  <c:v>Lu_exact - F l2_residual_rel</c:v>
                </c:pt>
              </c:strCache>
            </c:strRef>
          </c:tx>
          <c:spPr>
            <a:solidFill>
              <a:srgbClr val="9467bd"/>
            </a:solidFill>
            <a:ln w="20160">
              <a:solidFill>
                <a:srgbClr val="9467bd"/>
              </a:solidFill>
              <a:round/>
            </a:ln>
          </c:spPr>
          <c:marker>
            <c:symbol val="circle"/>
            <c:size val="6"/>
            <c:spPr>
              <a:solidFill>
                <a:srgbClr val="9467b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'Eigenvector Angle'!$Q$2:$Q$10</c:f>
              <c:numCache>
                <c:formatCode>General</c:formatCode>
                <c:ptCount val="9"/>
                <c:pt idx="0">
                  <c:v>0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12</c:v>
                </c:pt>
                <c:pt idx="5">
                  <c:v>16</c:v>
                </c:pt>
                <c:pt idx="6">
                  <c:v>18</c:v>
                </c:pt>
                <c:pt idx="7">
                  <c:v>20</c:v>
                </c:pt>
                <c:pt idx="8">
                  <c:v>24</c:v>
                </c:pt>
              </c:numCache>
            </c:numRef>
          </c:xVal>
          <c:yVal>
            <c:numRef>
              <c:f>'Eigenvector Angle'!$O$2:$O$10</c:f>
              <c:numCache>
                <c:formatCode>General</c:formatCode>
                <c:ptCount val="9"/>
                <c:pt idx="0">
                  <c:v>3.39570783692841E-005</c:v>
                </c:pt>
                <c:pt idx="1">
                  <c:v>0.551756478429073</c:v>
                </c:pt>
                <c:pt idx="2">
                  <c:v>0.512230371135603</c:v>
                </c:pt>
                <c:pt idx="3">
                  <c:v>0.551756478436794</c:v>
                </c:pt>
                <c:pt idx="4">
                  <c:v>3.39392022331379E-005</c:v>
                </c:pt>
                <c:pt idx="5">
                  <c:v>0.551756478428086</c:v>
                </c:pt>
                <c:pt idx="6">
                  <c:v>0.512230371129683</c:v>
                </c:pt>
                <c:pt idx="7">
                  <c:v>0.551756478435784</c:v>
                </c:pt>
                <c:pt idx="8">
                  <c:v>3.39570783692841E-005</c:v>
                </c:pt>
              </c:numCache>
            </c:numRef>
          </c:yVal>
          <c:smooth val="0"/>
        </c:ser>
        <c:axId val="79729422"/>
        <c:axId val="54222853"/>
      </c:scatterChart>
      <c:valAx>
        <c:axId val="79729422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rad24 (varied value)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4222853"/>
        <c:crosses val="autoZero"/>
        <c:crossBetween val="midCat"/>
      </c:valAx>
      <c:valAx>
        <c:axId val="54222853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Relative Error / Residual (log scale)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9729422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5.xml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chart" Target="../charts/chart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18</xdr:col>
      <xdr:colOff>0</xdr:colOff>
      <xdr:row>1</xdr:row>
      <xdr:rowOff>0</xdr:rowOff>
    </xdr:from>
    <xdr:to>
      <xdr:col>30</xdr:col>
      <xdr:colOff>581400</xdr:colOff>
      <xdr:row>23</xdr:row>
      <xdr:rowOff>128520</xdr:rowOff>
    </xdr:to>
    <xdr:graphicFrame>
      <xdr:nvGraphicFramePr>
        <xdr:cNvPr id="0" name="Chart 1"/>
        <xdr:cNvGraphicFramePr/>
      </xdr:nvGraphicFramePr>
      <xdr:xfrm>
        <a:off x="11007000" y="19044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18</xdr:col>
      <xdr:colOff>0</xdr:colOff>
      <xdr:row>1</xdr:row>
      <xdr:rowOff>0</xdr:rowOff>
    </xdr:from>
    <xdr:to>
      <xdr:col>30</xdr:col>
      <xdr:colOff>581400</xdr:colOff>
      <xdr:row>23</xdr:row>
      <xdr:rowOff>128520</xdr:rowOff>
    </xdr:to>
    <xdr:graphicFrame>
      <xdr:nvGraphicFramePr>
        <xdr:cNvPr id="1" name="Chart 1"/>
        <xdr:cNvGraphicFramePr/>
      </xdr:nvGraphicFramePr>
      <xdr:xfrm>
        <a:off x="11007000" y="19044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18</xdr:col>
      <xdr:colOff>0</xdr:colOff>
      <xdr:row>1</xdr:row>
      <xdr:rowOff>0</xdr:rowOff>
    </xdr:from>
    <xdr:to>
      <xdr:col>30</xdr:col>
      <xdr:colOff>581400</xdr:colOff>
      <xdr:row>23</xdr:row>
      <xdr:rowOff>128520</xdr:rowOff>
    </xdr:to>
    <xdr:graphicFrame>
      <xdr:nvGraphicFramePr>
        <xdr:cNvPr id="2" name="Chart 1"/>
        <xdr:cNvGraphicFramePr/>
      </xdr:nvGraphicFramePr>
      <xdr:xfrm>
        <a:off x="11007000" y="19044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18</xdr:col>
      <xdr:colOff>0</xdr:colOff>
      <xdr:row>1</xdr:row>
      <xdr:rowOff>0</xdr:rowOff>
    </xdr:from>
    <xdr:to>
      <xdr:col>30</xdr:col>
      <xdr:colOff>581400</xdr:colOff>
      <xdr:row>23</xdr:row>
      <xdr:rowOff>128520</xdr:rowOff>
    </xdr:to>
    <xdr:graphicFrame>
      <xdr:nvGraphicFramePr>
        <xdr:cNvPr id="3" name="Chart 1"/>
        <xdr:cNvGraphicFramePr/>
      </xdr:nvGraphicFramePr>
      <xdr:xfrm>
        <a:off x="11007000" y="19044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18</xdr:col>
      <xdr:colOff>0</xdr:colOff>
      <xdr:row>1</xdr:row>
      <xdr:rowOff>0</xdr:rowOff>
    </xdr:from>
    <xdr:to>
      <xdr:col>30</xdr:col>
      <xdr:colOff>581400</xdr:colOff>
      <xdr:row>23</xdr:row>
      <xdr:rowOff>128520</xdr:rowOff>
    </xdr:to>
    <xdr:graphicFrame>
      <xdr:nvGraphicFramePr>
        <xdr:cNvPr id="4" name="Chart 1"/>
        <xdr:cNvGraphicFramePr/>
      </xdr:nvGraphicFramePr>
      <xdr:xfrm>
        <a:off x="11007000" y="19044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18</xdr:col>
      <xdr:colOff>0</xdr:colOff>
      <xdr:row>1</xdr:row>
      <xdr:rowOff>0</xdr:rowOff>
    </xdr:from>
    <xdr:to>
      <xdr:col>30</xdr:col>
      <xdr:colOff>581400</xdr:colOff>
      <xdr:row>23</xdr:row>
      <xdr:rowOff>128520</xdr:rowOff>
    </xdr:to>
    <xdr:graphicFrame>
      <xdr:nvGraphicFramePr>
        <xdr:cNvPr id="5" name="Chart 1"/>
        <xdr:cNvGraphicFramePr/>
      </xdr:nvGraphicFramePr>
      <xdr:xfrm>
        <a:off x="11007000" y="19044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</row>
    <row r="2" customFormat="false" ht="15" hidden="false" customHeight="false" outlineLevel="0" collapsed="false">
      <c r="A2" s="0" t="n">
        <v>20</v>
      </c>
      <c r="B2" s="0" t="n">
        <v>20</v>
      </c>
      <c r="C2" s="0" t="n">
        <v>4</v>
      </c>
      <c r="D2" s="0" t="n">
        <v>5</v>
      </c>
      <c r="E2" s="0" t="n">
        <v>5</v>
      </c>
      <c r="F2" s="0" t="n">
        <v>1</v>
      </c>
      <c r="G2" s="0" t="n">
        <v>0.001</v>
      </c>
      <c r="H2" s="0" t="n">
        <v>12</v>
      </c>
      <c r="I2" s="1" t="b">
        <f aca="false">FALSE()</f>
        <v>0</v>
      </c>
      <c r="J2" s="1" t="b">
        <f aca="false">TRUE()</f>
        <v>1</v>
      </c>
      <c r="K2" s="0" t="n">
        <v>0.0259487695966695</v>
      </c>
      <c r="L2" s="0" t="n">
        <v>0.0237764165000369</v>
      </c>
      <c r="M2" s="0" t="n">
        <v>0.0230447152126941</v>
      </c>
      <c r="N2" s="0" t="n">
        <v>0.0152758227817162</v>
      </c>
      <c r="O2" s="0" t="n">
        <v>0.0188110742149167</v>
      </c>
      <c r="P2" s="0" t="s">
        <v>17</v>
      </c>
      <c r="Q2" s="0" t="n">
        <v>20</v>
      </c>
    </row>
    <row r="3" customFormat="false" ht="15" hidden="false" customHeight="false" outlineLevel="0" collapsed="false">
      <c r="A3" s="0" t="n">
        <v>30</v>
      </c>
      <c r="B3" s="0" t="n">
        <v>30</v>
      </c>
      <c r="C3" s="0" t="n">
        <v>4</v>
      </c>
      <c r="D3" s="0" t="n">
        <v>5</v>
      </c>
      <c r="E3" s="0" t="n">
        <v>5</v>
      </c>
      <c r="F3" s="0" t="n">
        <v>1</v>
      </c>
      <c r="G3" s="0" t="n">
        <v>0.001</v>
      </c>
      <c r="H3" s="0" t="n">
        <v>12</v>
      </c>
      <c r="I3" s="1" t="b">
        <f aca="false">FALSE()</f>
        <v>0</v>
      </c>
      <c r="J3" s="1" t="b">
        <f aca="false">TRUE()</f>
        <v>1</v>
      </c>
      <c r="K3" s="0" t="n">
        <v>0.0119703234769257</v>
      </c>
      <c r="L3" s="0" t="n">
        <v>0.0109591978251372</v>
      </c>
      <c r="M3" s="0" t="n">
        <v>0.0106151287892943</v>
      </c>
      <c r="N3" s="0" t="n">
        <v>0.00702249570182444</v>
      </c>
      <c r="O3" s="0" t="n">
        <v>0.00876068302411821</v>
      </c>
      <c r="P3" s="0" t="s">
        <v>17</v>
      </c>
      <c r="Q3" s="0" t="n">
        <v>30</v>
      </c>
    </row>
    <row r="4" customFormat="false" ht="15" hidden="false" customHeight="false" outlineLevel="0" collapsed="false">
      <c r="A4" s="0" t="n">
        <v>50</v>
      </c>
      <c r="B4" s="0" t="n">
        <v>50</v>
      </c>
      <c r="C4" s="0" t="n">
        <v>4</v>
      </c>
      <c r="D4" s="0" t="n">
        <v>5</v>
      </c>
      <c r="E4" s="0" t="n">
        <v>5</v>
      </c>
      <c r="F4" s="0" t="n">
        <v>1</v>
      </c>
      <c r="G4" s="0" t="n">
        <v>0.001</v>
      </c>
      <c r="H4" s="0" t="n">
        <v>12</v>
      </c>
      <c r="I4" s="1" t="b">
        <f aca="false">FALSE()</f>
        <v>0</v>
      </c>
      <c r="J4" s="1" t="b">
        <f aca="false">TRUE()</f>
        <v>1</v>
      </c>
      <c r="K4" s="0" t="n">
        <v>0.00444060520935125</v>
      </c>
      <c r="L4" s="0" t="n">
        <v>0.00405780432848876</v>
      </c>
      <c r="M4" s="0" t="n">
        <v>0.00392831788533428</v>
      </c>
      <c r="N4" s="0" t="n">
        <v>0.00260693943918085</v>
      </c>
      <c r="O4" s="0" t="n">
        <v>0.00326217299343161</v>
      </c>
      <c r="P4" s="0" t="s">
        <v>17</v>
      </c>
      <c r="Q4" s="0" t="n">
        <v>50</v>
      </c>
    </row>
    <row r="5" customFormat="false" ht="15" hidden="false" customHeight="false" outlineLevel="0" collapsed="false">
      <c r="A5" s="0" t="n">
        <v>75</v>
      </c>
      <c r="B5" s="0" t="n">
        <v>75</v>
      </c>
      <c r="C5" s="0" t="n">
        <v>4</v>
      </c>
      <c r="D5" s="0" t="n">
        <v>5</v>
      </c>
      <c r="E5" s="0" t="n">
        <v>5</v>
      </c>
      <c r="F5" s="0" t="n">
        <v>1</v>
      </c>
      <c r="G5" s="0" t="n">
        <v>0.001</v>
      </c>
      <c r="H5" s="0" t="n">
        <v>12</v>
      </c>
      <c r="I5" s="1" t="b">
        <f aca="false">FALSE()</f>
        <v>0</v>
      </c>
      <c r="J5" s="1" t="b">
        <f aca="false">TRUE()</f>
        <v>1</v>
      </c>
      <c r="K5" s="0" t="n">
        <v>0.00200553566217106</v>
      </c>
      <c r="L5" s="0" t="n">
        <v>0.00182847750003162</v>
      </c>
      <c r="M5" s="0" t="n">
        <v>0.00176984302313405</v>
      </c>
      <c r="N5" s="0" t="n">
        <v>0.00117439221676503</v>
      </c>
      <c r="O5" s="0" t="n">
        <v>0.00147266760761233</v>
      </c>
      <c r="P5" s="0" t="s">
        <v>17</v>
      </c>
      <c r="Q5" s="0" t="n">
        <v>75</v>
      </c>
    </row>
    <row r="6" customFormat="false" ht="15" hidden="false" customHeight="false" outlineLevel="0" collapsed="false">
      <c r="A6" s="0" t="n">
        <v>100</v>
      </c>
      <c r="B6" s="0" t="n">
        <v>100</v>
      </c>
      <c r="C6" s="0" t="n">
        <v>4</v>
      </c>
      <c r="D6" s="0" t="n">
        <v>5</v>
      </c>
      <c r="E6" s="0" t="n">
        <v>5</v>
      </c>
      <c r="F6" s="0" t="n">
        <v>1</v>
      </c>
      <c r="G6" s="0" t="n">
        <v>0.001</v>
      </c>
      <c r="H6" s="0" t="n">
        <v>12</v>
      </c>
      <c r="I6" s="1" t="b">
        <f aca="false">FALSE()</f>
        <v>0</v>
      </c>
      <c r="J6" s="1" t="b">
        <f aca="false">TRUE()</f>
        <v>1</v>
      </c>
      <c r="K6" s="0" t="n">
        <v>0.00113579369521233</v>
      </c>
      <c r="L6" s="0" t="n">
        <v>0.00103555656359563</v>
      </c>
      <c r="M6" s="0" t="n">
        <v>0.00100229337896393</v>
      </c>
      <c r="N6" s="0" t="n">
        <v>0.000665702494941885</v>
      </c>
      <c r="O6" s="0" t="n">
        <v>0.000834591337559552</v>
      </c>
      <c r="P6" s="0" t="s">
        <v>17</v>
      </c>
      <c r="Q6" s="0" t="n">
        <v>100</v>
      </c>
    </row>
    <row r="7" customFormat="false" ht="15" hidden="false" customHeight="false" outlineLevel="0" collapsed="false">
      <c r="A7" s="0" t="n">
        <v>125</v>
      </c>
      <c r="B7" s="0" t="n">
        <v>125</v>
      </c>
      <c r="C7" s="0" t="n">
        <v>4</v>
      </c>
      <c r="D7" s="0" t="n">
        <v>5</v>
      </c>
      <c r="E7" s="0" t="n">
        <v>5</v>
      </c>
      <c r="F7" s="0" t="n">
        <v>1</v>
      </c>
      <c r="G7" s="0" t="n">
        <v>0.001</v>
      </c>
      <c r="H7" s="0" t="n">
        <v>12</v>
      </c>
      <c r="I7" s="1" t="b">
        <f aca="false">FALSE()</f>
        <v>0</v>
      </c>
      <c r="J7" s="1" t="b">
        <f aca="false">TRUE()</f>
        <v>1</v>
      </c>
      <c r="K7" s="0" t="n">
        <v>0.000729457484804991</v>
      </c>
      <c r="L7" s="0" t="n">
        <v>0.000665460086012631</v>
      </c>
      <c r="M7" s="0" t="n">
        <v>0.000644070252806318</v>
      </c>
      <c r="N7" s="0" t="n">
        <v>0.00042785341247955</v>
      </c>
      <c r="O7" s="0" t="n">
        <v>0.000536481930833421</v>
      </c>
      <c r="P7" s="0" t="s">
        <v>17</v>
      </c>
      <c r="Q7" s="0" t="n">
        <v>125</v>
      </c>
    </row>
    <row r="8" customFormat="false" ht="15" hidden="false" customHeight="false" outlineLevel="0" collapsed="false">
      <c r="A8" s="0" t="n">
        <v>150</v>
      </c>
      <c r="B8" s="0" t="n">
        <v>150</v>
      </c>
      <c r="C8" s="0" t="n">
        <v>4</v>
      </c>
      <c r="D8" s="0" t="n">
        <v>5</v>
      </c>
      <c r="E8" s="0" t="n">
        <v>5</v>
      </c>
      <c r="F8" s="0" t="n">
        <v>1</v>
      </c>
      <c r="G8" s="0" t="n">
        <v>0.001</v>
      </c>
      <c r="H8" s="0" t="n">
        <v>12</v>
      </c>
      <c r="I8" s="1" t="b">
        <f aca="false">FALSE()</f>
        <v>0</v>
      </c>
      <c r="J8" s="1" t="b">
        <f aca="false">TRUE()</f>
        <v>1</v>
      </c>
      <c r="K8" s="0" t="n">
        <v>0.00050765466208674</v>
      </c>
      <c r="L8" s="0" t="n">
        <v>0.000463377111264786</v>
      </c>
      <c r="M8" s="0" t="n">
        <v>0.000448477406369399</v>
      </c>
      <c r="N8" s="0" t="n">
        <v>0.00029801354721815</v>
      </c>
      <c r="O8" s="0" t="n">
        <v>0.00037362879301992</v>
      </c>
      <c r="P8" s="0" t="s">
        <v>17</v>
      </c>
      <c r="Q8" s="0" t="n">
        <v>150</v>
      </c>
    </row>
    <row r="9" customFormat="false" ht="15" hidden="false" customHeight="false" outlineLevel="0" collapsed="false">
      <c r="A9" s="0" t="n">
        <v>175</v>
      </c>
      <c r="B9" s="0" t="n">
        <v>175</v>
      </c>
      <c r="C9" s="0" t="n">
        <v>4</v>
      </c>
      <c r="D9" s="0" t="n">
        <v>5</v>
      </c>
      <c r="E9" s="0" t="n">
        <v>5</v>
      </c>
      <c r="F9" s="0" t="n">
        <v>1</v>
      </c>
      <c r="G9" s="0" t="n">
        <v>0.001</v>
      </c>
      <c r="H9" s="0" t="n">
        <v>12</v>
      </c>
      <c r="I9" s="1" t="b">
        <f aca="false">FALSE()</f>
        <v>0</v>
      </c>
      <c r="J9" s="1" t="b">
        <f aca="false">TRUE()</f>
        <v>1</v>
      </c>
      <c r="K9" s="0" t="n">
        <v>0.000373732060534501</v>
      </c>
      <c r="L9" s="0" t="n">
        <v>0.00034109858108812</v>
      </c>
      <c r="M9" s="0" t="n">
        <v>0.000330128305571196</v>
      </c>
      <c r="N9" s="0" t="n">
        <v>0.000219359621600376</v>
      </c>
      <c r="O9" s="0" t="n">
        <v>0.000275061146820297</v>
      </c>
      <c r="P9" s="0" t="s">
        <v>17</v>
      </c>
      <c r="Q9" s="0" t="n">
        <v>175</v>
      </c>
    </row>
    <row r="10" customFormat="false" ht="15" hidden="false" customHeight="false" outlineLevel="0" collapsed="false">
      <c r="A10" s="0" t="n">
        <v>200</v>
      </c>
      <c r="B10" s="0" t="n">
        <v>200</v>
      </c>
      <c r="C10" s="0" t="n">
        <v>4</v>
      </c>
      <c r="D10" s="0" t="n">
        <v>5</v>
      </c>
      <c r="E10" s="0" t="n">
        <v>5</v>
      </c>
      <c r="F10" s="0" t="n">
        <v>1</v>
      </c>
      <c r="G10" s="0" t="n">
        <v>0.001</v>
      </c>
      <c r="H10" s="0" t="n">
        <v>12</v>
      </c>
      <c r="I10" s="1" t="b">
        <f aca="false">FALSE()</f>
        <v>0</v>
      </c>
      <c r="J10" s="1" t="b">
        <f aca="false">TRUE()</f>
        <v>1</v>
      </c>
      <c r="K10" s="0" t="n">
        <v>0.0002865639041114</v>
      </c>
      <c r="L10" s="0" t="n">
        <v>0.000261526972724805</v>
      </c>
      <c r="M10" s="0" t="n">
        <v>0.000253114657244297</v>
      </c>
      <c r="N10" s="0" t="n">
        <v>0.000168229932801213</v>
      </c>
      <c r="O10" s="0" t="n">
        <v>0.000210909524496917</v>
      </c>
      <c r="P10" s="0" t="s">
        <v>17</v>
      </c>
      <c r="Q10" s="0" t="n">
        <v>200</v>
      </c>
    </row>
    <row r="11" customFormat="false" ht="15" hidden="false" customHeight="false" outlineLevel="0" collapsed="false">
      <c r="A11" s="0" t="n">
        <v>250</v>
      </c>
      <c r="B11" s="0" t="n">
        <v>250</v>
      </c>
      <c r="C11" s="0" t="n">
        <v>4</v>
      </c>
      <c r="D11" s="0" t="n">
        <v>5</v>
      </c>
      <c r="E11" s="0" t="n">
        <v>5</v>
      </c>
      <c r="F11" s="0" t="n">
        <v>1</v>
      </c>
      <c r="G11" s="0" t="n">
        <v>0.001</v>
      </c>
      <c r="H11" s="0" t="n">
        <v>12</v>
      </c>
      <c r="I11" s="1" t="b">
        <f aca="false">FALSE()</f>
        <v>0</v>
      </c>
      <c r="J11" s="1" t="b">
        <f aca="false">TRUE()</f>
        <v>1</v>
      </c>
      <c r="K11" s="0" t="n">
        <v>0.000183755049067177</v>
      </c>
      <c r="L11" s="0" t="n">
        <v>0.000167713114057145</v>
      </c>
      <c r="M11" s="0" t="n">
        <v>0.000162317495392564</v>
      </c>
      <c r="N11" s="0" t="n">
        <v>0.000107889455390407</v>
      </c>
      <c r="O11" s="0" t="n">
        <v>0.000135263955203078</v>
      </c>
      <c r="P11" s="0" t="s">
        <v>17</v>
      </c>
      <c r="Q11" s="0" t="n">
        <v>250</v>
      </c>
    </row>
    <row r="12" customFormat="false" ht="15" hidden="false" customHeight="false" outlineLevel="0" collapsed="false">
      <c r="A12" s="0" t="n">
        <v>500</v>
      </c>
      <c r="B12" s="0" t="n">
        <v>500</v>
      </c>
      <c r="C12" s="0" t="n">
        <v>4</v>
      </c>
      <c r="D12" s="0" t="n">
        <v>5</v>
      </c>
      <c r="E12" s="0" t="n">
        <v>5</v>
      </c>
      <c r="F12" s="0" t="n">
        <v>1</v>
      </c>
      <c r="G12" s="0" t="n">
        <v>0.001</v>
      </c>
      <c r="H12" s="0" t="n">
        <v>12</v>
      </c>
      <c r="I12" s="1" t="b">
        <f aca="false">FALSE()</f>
        <v>0</v>
      </c>
      <c r="J12" s="1" t="b">
        <f aca="false">TRUE()</f>
        <v>1</v>
      </c>
      <c r="K12" s="0" t="n">
        <v>4.60965484577719E-005</v>
      </c>
      <c r="L12" s="0" t="n">
        <v>4.20694443780682E-005</v>
      </c>
      <c r="M12" s="0" t="n">
        <v>4.07165538795466E-005</v>
      </c>
      <c r="N12" s="0" t="n">
        <v>2.70680643915973E-005</v>
      </c>
      <c r="O12" s="0" t="n">
        <v>3.39392022331379E-005</v>
      </c>
      <c r="P12" s="0" t="s">
        <v>17</v>
      </c>
      <c r="Q12" s="0" t="n">
        <v>500</v>
      </c>
    </row>
    <row r="13" customFormat="false" ht="15" hidden="false" customHeight="false" outlineLevel="0" collapsed="false">
      <c r="A13" s="0" t="n">
        <v>750</v>
      </c>
      <c r="B13" s="0" t="n">
        <v>750</v>
      </c>
      <c r="C13" s="0" t="n">
        <v>4</v>
      </c>
      <c r="D13" s="0" t="n">
        <v>5</v>
      </c>
      <c r="E13" s="0" t="n">
        <v>5</v>
      </c>
      <c r="F13" s="0" t="n">
        <v>1</v>
      </c>
      <c r="G13" s="0" t="n">
        <v>0.001</v>
      </c>
      <c r="H13" s="0" t="n">
        <v>12</v>
      </c>
      <c r="I13" s="1" t="b">
        <f aca="false">FALSE()</f>
        <v>0</v>
      </c>
      <c r="J13" s="1" t="b">
        <f aca="false">TRUE()</f>
        <v>1</v>
      </c>
      <c r="K13" s="0" t="n">
        <v>2.08635061624859E-005</v>
      </c>
      <c r="L13" s="0" t="n">
        <v>1.9048622889499E-005</v>
      </c>
      <c r="M13" s="0" t="n">
        <v>1.84254562980847E-005</v>
      </c>
      <c r="N13" s="0" t="n">
        <v>1.22013024683598E-005</v>
      </c>
      <c r="O13" s="0" t="n">
        <v>1.529756731774E-005</v>
      </c>
      <c r="P13" s="0" t="s">
        <v>17</v>
      </c>
      <c r="Q13" s="0" t="n">
        <v>750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</row>
    <row r="2" customFormat="false" ht="15" hidden="false" customHeight="false" outlineLevel="0" collapsed="false">
      <c r="A2" s="0" t="n">
        <v>500</v>
      </c>
      <c r="B2" s="0" t="n">
        <v>500</v>
      </c>
      <c r="C2" s="0" t="n">
        <v>0.05</v>
      </c>
      <c r="D2" s="0" t="n">
        <v>5</v>
      </c>
      <c r="E2" s="0" t="n">
        <v>5</v>
      </c>
      <c r="F2" s="0" t="n">
        <v>1</v>
      </c>
      <c r="G2" s="0" t="n">
        <v>0.001</v>
      </c>
      <c r="H2" s="0" t="n">
        <v>12</v>
      </c>
      <c r="I2" s="1" t="b">
        <f aca="false">FALSE()</f>
        <v>0</v>
      </c>
      <c r="J2" s="1" t="b">
        <f aca="false">TRUE()</f>
        <v>1</v>
      </c>
      <c r="K2" s="0" t="n">
        <v>4212.32687727234</v>
      </c>
      <c r="L2" s="0" t="n">
        <v>2795.77953103831</v>
      </c>
      <c r="M2" s="0" t="n">
        <v>5942.35556483178</v>
      </c>
      <c r="N2" s="0" t="n">
        <v>0.999720557577854</v>
      </c>
      <c r="O2" s="0" t="n">
        <v>0.999720582473239</v>
      </c>
      <c r="P2" s="0" t="s">
        <v>18</v>
      </c>
      <c r="Q2" s="0" t="n">
        <v>0.05</v>
      </c>
    </row>
    <row r="3" customFormat="false" ht="15" hidden="false" customHeight="false" outlineLevel="0" collapsed="false">
      <c r="A3" s="0" t="n">
        <v>500</v>
      </c>
      <c r="B3" s="0" t="n">
        <v>500</v>
      </c>
      <c r="C3" s="0" t="n">
        <v>0.1</v>
      </c>
      <c r="D3" s="0" t="n">
        <v>5</v>
      </c>
      <c r="E3" s="0" t="n">
        <v>5</v>
      </c>
      <c r="F3" s="0" t="n">
        <v>1</v>
      </c>
      <c r="G3" s="0" t="n">
        <v>0.001</v>
      </c>
      <c r="H3" s="0" t="n">
        <v>12</v>
      </c>
      <c r="I3" s="1" t="b">
        <f aca="false">FALSE()</f>
        <v>0</v>
      </c>
      <c r="J3" s="1" t="b">
        <f aca="false">TRUE()</f>
        <v>1</v>
      </c>
      <c r="K3" s="0" t="n">
        <v>1052.19863885718</v>
      </c>
      <c r="L3" s="0" t="n">
        <v>698.359031388681</v>
      </c>
      <c r="M3" s="0" t="n">
        <v>1485.13748912984</v>
      </c>
      <c r="N3" s="0" t="n">
        <v>0.998882230304439</v>
      </c>
      <c r="O3" s="0" t="n">
        <v>0.998882628964829</v>
      </c>
      <c r="P3" s="0" t="s">
        <v>18</v>
      </c>
      <c r="Q3" s="0" t="n">
        <v>0.1</v>
      </c>
    </row>
    <row r="4" customFormat="false" ht="15" hidden="false" customHeight="false" outlineLevel="0" collapsed="false">
      <c r="A4" s="0" t="n">
        <v>500</v>
      </c>
      <c r="B4" s="0" t="n">
        <v>500</v>
      </c>
      <c r="C4" s="0" t="n">
        <v>0.5</v>
      </c>
      <c r="D4" s="0" t="n">
        <v>5</v>
      </c>
      <c r="E4" s="0" t="n">
        <v>5</v>
      </c>
      <c r="F4" s="0" t="n">
        <v>1</v>
      </c>
      <c r="G4" s="0" t="n">
        <v>0.001</v>
      </c>
      <c r="H4" s="0" t="n">
        <v>12</v>
      </c>
      <c r="I4" s="1" t="b">
        <f aca="false">FALSE()</f>
        <v>0</v>
      </c>
      <c r="J4" s="1" t="b">
        <f aca="false">TRUE()</f>
        <v>1</v>
      </c>
      <c r="K4" s="0" t="n">
        <v>0.000123114786409814</v>
      </c>
      <c r="L4" s="0" t="n">
        <v>0.000115031281762765</v>
      </c>
      <c r="M4" s="0" t="n">
        <v>0.000109800513276136</v>
      </c>
      <c r="N4" s="0" t="n">
        <v>6.02784974700361E-005</v>
      </c>
      <c r="O4" s="0" t="n">
        <v>8.21311472813801E-005</v>
      </c>
      <c r="P4" s="0" t="s">
        <v>18</v>
      </c>
      <c r="Q4" s="0" t="n">
        <v>0.5</v>
      </c>
    </row>
    <row r="5" customFormat="false" ht="15" hidden="false" customHeight="false" outlineLevel="0" collapsed="false">
      <c r="A5" s="0" t="n">
        <v>500</v>
      </c>
      <c r="B5" s="0" t="n">
        <v>500</v>
      </c>
      <c r="C5" s="0" t="n">
        <v>1</v>
      </c>
      <c r="D5" s="0" t="n">
        <v>5</v>
      </c>
      <c r="E5" s="0" t="n">
        <v>5</v>
      </c>
      <c r="F5" s="0" t="n">
        <v>1</v>
      </c>
      <c r="G5" s="0" t="n">
        <v>0.001</v>
      </c>
      <c r="H5" s="0" t="n">
        <v>12</v>
      </c>
      <c r="I5" s="1" t="b">
        <f aca="false">FALSE()</f>
        <v>0</v>
      </c>
      <c r="J5" s="1" t="b">
        <f aca="false">TRUE()</f>
        <v>1</v>
      </c>
      <c r="K5" s="0" t="n">
        <v>8.78664986454721E-006</v>
      </c>
      <c r="L5" s="0" t="n">
        <v>5.28259008072373E-006</v>
      </c>
      <c r="M5" s="0" t="n">
        <v>9.17366559715932E-006</v>
      </c>
      <c r="N5" s="0" t="n">
        <v>1.43003355799723E-005</v>
      </c>
      <c r="O5" s="0" t="n">
        <v>1.84030517462018E-005</v>
      </c>
      <c r="P5" s="0" t="s">
        <v>18</v>
      </c>
      <c r="Q5" s="0" t="n">
        <v>1</v>
      </c>
    </row>
    <row r="6" customFormat="false" ht="15" hidden="false" customHeight="false" outlineLevel="0" collapsed="false">
      <c r="A6" s="0" t="n">
        <v>500</v>
      </c>
      <c r="B6" s="0" t="n">
        <v>500</v>
      </c>
      <c r="C6" s="0" t="n">
        <v>2</v>
      </c>
      <c r="D6" s="0" t="n">
        <v>5</v>
      </c>
      <c r="E6" s="0" t="n">
        <v>5</v>
      </c>
      <c r="F6" s="0" t="n">
        <v>1</v>
      </c>
      <c r="G6" s="0" t="n">
        <v>0.001</v>
      </c>
      <c r="H6" s="0" t="n">
        <v>12</v>
      </c>
      <c r="I6" s="1" t="b">
        <f aca="false">FALSE()</f>
        <v>0</v>
      </c>
      <c r="J6" s="1" t="b">
        <f aca="false">TRUE()</f>
        <v>1</v>
      </c>
      <c r="K6" s="0" t="n">
        <v>4.54807540051384E-006</v>
      </c>
      <c r="L6" s="0" t="n">
        <v>3.79394625852871E-006</v>
      </c>
      <c r="M6" s="0" t="n">
        <v>5.66449976564432E-006</v>
      </c>
      <c r="N6" s="0" t="n">
        <v>8.16863504701651E-006</v>
      </c>
      <c r="O6" s="0" t="n">
        <v>1.05830315704428E-005</v>
      </c>
      <c r="P6" s="0" t="s">
        <v>18</v>
      </c>
      <c r="Q6" s="0" t="n">
        <v>2</v>
      </c>
    </row>
    <row r="7" customFormat="false" ht="15" hidden="false" customHeight="false" outlineLevel="0" collapsed="false">
      <c r="A7" s="0" t="n">
        <v>500</v>
      </c>
      <c r="B7" s="0" t="n">
        <v>500</v>
      </c>
      <c r="C7" s="0" t="n">
        <v>2.5</v>
      </c>
      <c r="D7" s="0" t="n">
        <v>5</v>
      </c>
      <c r="E7" s="0" t="n">
        <v>5</v>
      </c>
      <c r="F7" s="0" t="n">
        <v>1</v>
      </c>
      <c r="G7" s="0" t="n">
        <v>0.001</v>
      </c>
      <c r="H7" s="0" t="n">
        <v>12</v>
      </c>
      <c r="I7" s="1" t="b">
        <f aca="false">FALSE()</f>
        <v>0</v>
      </c>
      <c r="J7" s="1" t="b">
        <f aca="false">TRUE()</f>
        <v>1</v>
      </c>
      <c r="K7" s="0" t="n">
        <v>5.98832943576724E-006</v>
      </c>
      <c r="L7" s="0" t="n">
        <v>5.31156610480536E-006</v>
      </c>
      <c r="M7" s="0" t="n">
        <v>5.41642059828644E-006</v>
      </c>
      <c r="N7" s="0" t="n">
        <v>4.61056622430492E-006</v>
      </c>
      <c r="O7" s="0" t="n">
        <v>5.86673559350493E-006</v>
      </c>
      <c r="P7" s="0" t="s">
        <v>18</v>
      </c>
      <c r="Q7" s="0" t="n">
        <v>2.5</v>
      </c>
    </row>
    <row r="8" customFormat="false" ht="15" hidden="false" customHeight="false" outlineLevel="0" collapsed="false">
      <c r="A8" s="0" t="n">
        <v>500</v>
      </c>
      <c r="B8" s="0" t="n">
        <v>500</v>
      </c>
      <c r="C8" s="0" t="n">
        <v>3</v>
      </c>
      <c r="D8" s="0" t="n">
        <v>5</v>
      </c>
      <c r="E8" s="0" t="n">
        <v>5</v>
      </c>
      <c r="F8" s="0" t="n">
        <v>1</v>
      </c>
      <c r="G8" s="0" t="n">
        <v>0.001</v>
      </c>
      <c r="H8" s="0" t="n">
        <v>12</v>
      </c>
      <c r="I8" s="1" t="b">
        <f aca="false">FALSE()</f>
        <v>0</v>
      </c>
      <c r="J8" s="1" t="b">
        <f aca="false">TRUE()</f>
        <v>1</v>
      </c>
      <c r="K8" s="0" t="n">
        <v>4.46339918246263E-007</v>
      </c>
      <c r="L8" s="0" t="n">
        <v>3.73744759859924E-007</v>
      </c>
      <c r="M8" s="0" t="n">
        <v>8.89213743359314E-007</v>
      </c>
      <c r="N8" s="0" t="n">
        <v>1.41915354091368E-006</v>
      </c>
      <c r="O8" s="0" t="n">
        <v>1.93167343343964E-006</v>
      </c>
      <c r="P8" s="0" t="s">
        <v>18</v>
      </c>
      <c r="Q8" s="0" t="n">
        <v>3</v>
      </c>
    </row>
    <row r="9" customFormat="false" ht="15" hidden="false" customHeight="false" outlineLevel="0" collapsed="false">
      <c r="A9" s="0" t="n">
        <v>500</v>
      </c>
      <c r="B9" s="0" t="n">
        <v>500</v>
      </c>
      <c r="C9" s="0" t="n">
        <v>3.5</v>
      </c>
      <c r="D9" s="0" t="n">
        <v>5</v>
      </c>
      <c r="E9" s="0" t="n">
        <v>5</v>
      </c>
      <c r="F9" s="0" t="n">
        <v>1</v>
      </c>
      <c r="G9" s="0" t="n">
        <v>0.001</v>
      </c>
      <c r="H9" s="0" t="n">
        <v>12</v>
      </c>
      <c r="I9" s="1" t="b">
        <f aca="false">FALSE()</f>
        <v>0</v>
      </c>
      <c r="J9" s="1" t="b">
        <f aca="false">TRUE()</f>
        <v>1</v>
      </c>
      <c r="K9" s="0" t="n">
        <v>1.65825519246044E-005</v>
      </c>
      <c r="L9" s="0" t="n">
        <v>1.49222565653329E-005</v>
      </c>
      <c r="M9" s="0" t="n">
        <v>1.47263774132151E-005</v>
      </c>
      <c r="N9" s="0" t="n">
        <v>1.08327075485996E-005</v>
      </c>
      <c r="O9" s="0" t="n">
        <v>1.38069630702737E-005</v>
      </c>
      <c r="P9" s="0" t="s">
        <v>18</v>
      </c>
      <c r="Q9" s="0" t="n">
        <v>3.5</v>
      </c>
    </row>
    <row r="10" customFormat="false" ht="15" hidden="false" customHeight="false" outlineLevel="0" collapsed="false">
      <c r="A10" s="0" t="n">
        <v>500</v>
      </c>
      <c r="B10" s="0" t="n">
        <v>500</v>
      </c>
      <c r="C10" s="0" t="n">
        <v>4</v>
      </c>
      <c r="D10" s="0" t="n">
        <v>5</v>
      </c>
      <c r="E10" s="0" t="n">
        <v>5</v>
      </c>
      <c r="F10" s="0" t="n">
        <v>1</v>
      </c>
      <c r="G10" s="0" t="n">
        <v>0.001</v>
      </c>
      <c r="H10" s="0" t="n">
        <v>12</v>
      </c>
      <c r="I10" s="1" t="b">
        <f aca="false">FALSE()</f>
        <v>0</v>
      </c>
      <c r="J10" s="1" t="b">
        <f aca="false">TRUE()</f>
        <v>1</v>
      </c>
      <c r="K10" s="0" t="n">
        <v>4.60965484577719E-005</v>
      </c>
      <c r="L10" s="0" t="n">
        <v>4.20694443780682E-005</v>
      </c>
      <c r="M10" s="0" t="n">
        <v>4.07165538795466E-005</v>
      </c>
      <c r="N10" s="0" t="n">
        <v>2.70680643915973E-005</v>
      </c>
      <c r="O10" s="0" t="n">
        <v>3.39392022331379E-005</v>
      </c>
      <c r="P10" s="0" t="s">
        <v>18</v>
      </c>
      <c r="Q10" s="0" t="n">
        <v>4</v>
      </c>
    </row>
    <row r="11" customFormat="false" ht="15" hidden="false" customHeight="false" outlineLevel="0" collapsed="false">
      <c r="A11" s="0" t="n">
        <v>500</v>
      </c>
      <c r="B11" s="0" t="n">
        <v>500</v>
      </c>
      <c r="C11" s="0" t="n">
        <v>5</v>
      </c>
      <c r="D11" s="0" t="n">
        <v>5</v>
      </c>
      <c r="E11" s="0" t="n">
        <v>5</v>
      </c>
      <c r="F11" s="0" t="n">
        <v>1</v>
      </c>
      <c r="G11" s="0" t="n">
        <v>0.001</v>
      </c>
      <c r="H11" s="0" t="n">
        <v>12</v>
      </c>
      <c r="I11" s="1" t="b">
        <f aca="false">FALSE()</f>
        <v>0</v>
      </c>
      <c r="J11" s="1" t="b">
        <f aca="false">TRUE()</f>
        <v>1</v>
      </c>
      <c r="K11" s="0" t="n">
        <v>0.000165792407600405</v>
      </c>
      <c r="L11" s="0" t="n">
        <v>0.00015333400505315</v>
      </c>
      <c r="M11" s="0" t="n">
        <v>0.000146852156864504</v>
      </c>
      <c r="N11" s="0" t="n">
        <v>8.78510205602725E-005</v>
      </c>
      <c r="O11" s="0" t="n">
        <v>0.000113017592224545</v>
      </c>
      <c r="P11" s="0" t="s">
        <v>18</v>
      </c>
      <c r="Q11" s="0" t="n">
        <v>5</v>
      </c>
    </row>
    <row r="12" customFormat="false" ht="15" hidden="false" customHeight="false" outlineLevel="0" collapsed="false">
      <c r="A12" s="0" t="n">
        <v>500</v>
      </c>
      <c r="B12" s="0" t="n">
        <v>500</v>
      </c>
      <c r="C12" s="0" t="n">
        <v>7.5</v>
      </c>
      <c r="D12" s="0" t="n">
        <v>5</v>
      </c>
      <c r="E12" s="0" t="n">
        <v>5</v>
      </c>
      <c r="F12" s="0" t="n">
        <v>1</v>
      </c>
      <c r="G12" s="0" t="n">
        <v>0.001</v>
      </c>
      <c r="H12" s="0" t="n">
        <v>12</v>
      </c>
      <c r="I12" s="1" t="b">
        <f aca="false">FALSE()</f>
        <v>0</v>
      </c>
      <c r="J12" s="1" t="b">
        <f aca="false">TRUE()</f>
        <v>1</v>
      </c>
      <c r="K12" s="0" t="n">
        <v>0.00111217540072519</v>
      </c>
      <c r="L12" s="0" t="n">
        <v>0.00104099541312889</v>
      </c>
      <c r="M12" s="0" t="n">
        <v>0.000993448996966258</v>
      </c>
      <c r="N12" s="0" t="n">
        <v>0.000536426090259959</v>
      </c>
      <c r="O12" s="0" t="n">
        <v>0.000740852465236657</v>
      </c>
      <c r="P12" s="0" t="s">
        <v>18</v>
      </c>
      <c r="Q12" s="0" t="n">
        <v>7.5</v>
      </c>
    </row>
    <row r="13" customFormat="false" ht="15" hidden="false" customHeight="false" outlineLevel="0" collapsed="false">
      <c r="A13" s="0" t="n">
        <v>500</v>
      </c>
      <c r="B13" s="0" t="n">
        <v>500</v>
      </c>
      <c r="C13" s="0" t="n">
        <v>10</v>
      </c>
      <c r="D13" s="0" t="n">
        <v>5</v>
      </c>
      <c r="E13" s="0" t="n">
        <v>5</v>
      </c>
      <c r="F13" s="0" t="n">
        <v>1</v>
      </c>
      <c r="G13" s="0" t="n">
        <v>0.001</v>
      </c>
      <c r="H13" s="0" t="n">
        <v>12</v>
      </c>
      <c r="I13" s="1" t="b">
        <f aca="false">FALSE()</f>
        <v>0</v>
      </c>
      <c r="J13" s="1" t="b">
        <f aca="false">TRUE()</f>
        <v>1</v>
      </c>
      <c r="K13" s="0" t="n">
        <v>0.00384473064918582</v>
      </c>
      <c r="L13" s="0" t="n">
        <v>0.00359989670851326</v>
      </c>
      <c r="M13" s="0" t="n">
        <v>0.0034351275598339</v>
      </c>
      <c r="N13" s="0" t="n">
        <v>0.00184464890173497</v>
      </c>
      <c r="O13" s="0" t="n">
        <v>0.0025528278429828</v>
      </c>
      <c r="P13" s="0" t="s">
        <v>18</v>
      </c>
      <c r="Q13" s="0" t="n">
        <v>10</v>
      </c>
    </row>
    <row r="14" customFormat="false" ht="15" hidden="false" customHeight="false" outlineLevel="0" collapsed="false">
      <c r="A14" s="0" t="n">
        <v>500</v>
      </c>
      <c r="B14" s="0" t="n">
        <v>500</v>
      </c>
      <c r="C14" s="0" t="n">
        <v>15</v>
      </c>
      <c r="D14" s="0" t="n">
        <v>5</v>
      </c>
      <c r="E14" s="0" t="n">
        <v>5</v>
      </c>
      <c r="F14" s="0" t="n">
        <v>1</v>
      </c>
      <c r="G14" s="0" t="n">
        <v>0.001</v>
      </c>
      <c r="H14" s="0" t="n">
        <v>12</v>
      </c>
      <c r="I14" s="1" t="b">
        <f aca="false">FALSE()</f>
        <v>0</v>
      </c>
      <c r="J14" s="1" t="b">
        <f aca="false">TRUE()</f>
        <v>1</v>
      </c>
      <c r="K14" s="0" t="n">
        <v>0.0210868863665143</v>
      </c>
      <c r="L14" s="0" t="n">
        <v>0.0196367249699339</v>
      </c>
      <c r="M14" s="0" t="n">
        <v>0.0187422150545075</v>
      </c>
      <c r="N14" s="0" t="n">
        <v>0.0103906664583864</v>
      </c>
      <c r="O14" s="0" t="n">
        <v>0.0137370424151542</v>
      </c>
      <c r="P14" s="0" t="s">
        <v>18</v>
      </c>
      <c r="Q14" s="0" t="n">
        <v>15</v>
      </c>
    </row>
    <row r="15" customFormat="false" ht="15" hidden="false" customHeight="false" outlineLevel="0" collapsed="false">
      <c r="A15" s="0" t="n">
        <v>500</v>
      </c>
      <c r="B15" s="0" t="n">
        <v>500</v>
      </c>
      <c r="C15" s="0" t="n">
        <v>20</v>
      </c>
      <c r="D15" s="0" t="n">
        <v>5</v>
      </c>
      <c r="E15" s="0" t="n">
        <v>5</v>
      </c>
      <c r="F15" s="0" t="n">
        <v>1</v>
      </c>
      <c r="G15" s="0" t="n">
        <v>0.001</v>
      </c>
      <c r="H15" s="0" t="n">
        <v>12</v>
      </c>
      <c r="I15" s="1" t="b">
        <f aca="false">FALSE()</f>
        <v>0</v>
      </c>
      <c r="J15" s="1" t="b">
        <f aca="false">TRUE()</f>
        <v>1</v>
      </c>
      <c r="K15" s="0" t="n">
        <v>0.0712046902970529</v>
      </c>
      <c r="L15" s="0" t="n">
        <v>0.0662089794431737</v>
      </c>
      <c r="M15" s="0" t="n">
        <v>0.0631996103092199</v>
      </c>
      <c r="N15" s="0" t="n">
        <v>0.034037448892087</v>
      </c>
      <c r="O15" s="0" t="n">
        <v>0.0443437128884083</v>
      </c>
      <c r="P15" s="0" t="s">
        <v>18</v>
      </c>
      <c r="Q15" s="0" t="n">
        <v>20</v>
      </c>
    </row>
    <row r="16" customFormat="false" ht="15" hidden="false" customHeight="false" outlineLevel="0" collapsed="false">
      <c r="A16" s="0" t="n">
        <v>500</v>
      </c>
      <c r="B16" s="0" t="n">
        <v>500</v>
      </c>
      <c r="C16" s="0" t="n">
        <v>30</v>
      </c>
      <c r="D16" s="0" t="n">
        <v>5</v>
      </c>
      <c r="E16" s="0" t="n">
        <v>5</v>
      </c>
      <c r="F16" s="0" t="n">
        <v>1</v>
      </c>
      <c r="G16" s="0" t="n">
        <v>0.001</v>
      </c>
      <c r="H16" s="0" t="n">
        <v>12</v>
      </c>
      <c r="I16" s="1" t="b">
        <f aca="false">FALSE()</f>
        <v>0</v>
      </c>
      <c r="J16" s="1" t="b">
        <f aca="false">TRUE()</f>
        <v>1</v>
      </c>
      <c r="K16" s="0" t="n">
        <v>0.503432419266409</v>
      </c>
      <c r="L16" s="0" t="n">
        <v>0.468778943320052</v>
      </c>
      <c r="M16" s="0" t="n">
        <v>0.447426671369713</v>
      </c>
      <c r="N16" s="0" t="n">
        <v>0.176642938771676</v>
      </c>
      <c r="O16" s="0" t="n">
        <v>0.22781900137291</v>
      </c>
      <c r="P16" s="0" t="s">
        <v>18</v>
      </c>
      <c r="Q16" s="0" t="n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</row>
    <row r="2" customFormat="false" ht="15" hidden="false" customHeight="false" outlineLevel="0" collapsed="false">
      <c r="A2" s="0" t="n">
        <v>500</v>
      </c>
      <c r="B2" s="0" t="n">
        <v>500</v>
      </c>
      <c r="C2" s="0" t="n">
        <v>4</v>
      </c>
      <c r="D2" s="0" t="n">
        <v>5</v>
      </c>
      <c r="E2" s="0" t="n">
        <v>5</v>
      </c>
      <c r="F2" s="0" t="n">
        <v>1</v>
      </c>
      <c r="G2" s="0" t="n">
        <v>0.001</v>
      </c>
      <c r="H2" s="0" t="n">
        <v>12</v>
      </c>
      <c r="I2" s="1" t="b">
        <f aca="false">FALSE()</f>
        <v>0</v>
      </c>
      <c r="J2" s="1" t="b">
        <f aca="false">TRUE()</f>
        <v>1</v>
      </c>
      <c r="K2" s="0" t="n">
        <v>4.60965484577719E-005</v>
      </c>
      <c r="L2" s="0" t="n">
        <v>4.20694443780682E-005</v>
      </c>
      <c r="M2" s="0" t="n">
        <v>4.07165538795466E-005</v>
      </c>
      <c r="N2" s="0" t="n">
        <v>2.70680643915973E-005</v>
      </c>
      <c r="O2" s="0" t="n">
        <v>3.39392022331379E-005</v>
      </c>
      <c r="P2" s="0" t="s">
        <v>3</v>
      </c>
      <c r="Q2" s="0" t="n">
        <v>5</v>
      </c>
    </row>
    <row r="3" customFormat="false" ht="15" hidden="false" customHeight="false" outlineLevel="0" collapsed="false">
      <c r="A3" s="0" t="n">
        <v>500</v>
      </c>
      <c r="B3" s="0" t="n">
        <v>500</v>
      </c>
      <c r="C3" s="0" t="n">
        <v>4</v>
      </c>
      <c r="D3" s="0" t="n">
        <v>7</v>
      </c>
      <c r="E3" s="0" t="n">
        <v>5</v>
      </c>
      <c r="F3" s="0" t="n">
        <v>1</v>
      </c>
      <c r="G3" s="0" t="n">
        <v>0.001</v>
      </c>
      <c r="H3" s="0" t="n">
        <v>12</v>
      </c>
      <c r="I3" s="1" t="b">
        <f aca="false">FALSE()</f>
        <v>0</v>
      </c>
      <c r="J3" s="1" t="b">
        <f aca="false">TRUE()</f>
        <v>1</v>
      </c>
      <c r="K3" s="0" t="n">
        <v>4.60934897221036E-005</v>
      </c>
      <c r="L3" s="0" t="n">
        <v>4.20244902092943E-005</v>
      </c>
      <c r="M3" s="0" t="n">
        <v>4.06738341994843E-005</v>
      </c>
      <c r="N3" s="0" t="n">
        <v>2.70883849863011E-005</v>
      </c>
      <c r="O3" s="0" t="n">
        <v>3.39085741214827E-005</v>
      </c>
      <c r="P3" s="0" t="s">
        <v>3</v>
      </c>
      <c r="Q3" s="0" t="n">
        <v>7</v>
      </c>
    </row>
    <row r="4" customFormat="false" ht="15" hidden="false" customHeight="false" outlineLevel="0" collapsed="false">
      <c r="A4" s="0" t="n">
        <v>500</v>
      </c>
      <c r="B4" s="0" t="n">
        <v>500</v>
      </c>
      <c r="C4" s="0" t="n">
        <v>4</v>
      </c>
      <c r="D4" s="0" t="n">
        <v>10</v>
      </c>
      <c r="E4" s="0" t="n">
        <v>5</v>
      </c>
      <c r="F4" s="0" t="n">
        <v>1</v>
      </c>
      <c r="G4" s="0" t="n">
        <v>0.001</v>
      </c>
      <c r="H4" s="0" t="n">
        <v>12</v>
      </c>
      <c r="I4" s="1" t="b">
        <f aca="false">FALSE()</f>
        <v>0</v>
      </c>
      <c r="J4" s="1" t="b">
        <f aca="false">TRUE()</f>
        <v>1</v>
      </c>
      <c r="K4" s="0" t="n">
        <v>0.000137950284495547</v>
      </c>
      <c r="L4" s="0" t="n">
        <v>0.000124879406301391</v>
      </c>
      <c r="M4" s="0" t="n">
        <v>0.000119949155944773</v>
      </c>
      <c r="N4" s="0" t="n">
        <v>8.35905370346545E-005</v>
      </c>
      <c r="O4" s="0" t="n">
        <v>9.35479214845573E-005</v>
      </c>
      <c r="P4" s="0" t="s">
        <v>3</v>
      </c>
      <c r="Q4" s="0" t="n">
        <v>10</v>
      </c>
    </row>
    <row r="5" customFormat="false" ht="15" hidden="false" customHeight="false" outlineLevel="0" collapsed="false">
      <c r="A5" s="0" t="n">
        <v>500</v>
      </c>
      <c r="B5" s="0" t="n">
        <v>500</v>
      </c>
      <c r="C5" s="0" t="n">
        <v>4</v>
      </c>
      <c r="D5" s="0" t="n">
        <v>15</v>
      </c>
      <c r="E5" s="0" t="n">
        <v>5</v>
      </c>
      <c r="F5" s="0" t="n">
        <v>1</v>
      </c>
      <c r="G5" s="0" t="n">
        <v>0.001</v>
      </c>
      <c r="H5" s="0" t="n">
        <v>12</v>
      </c>
      <c r="I5" s="1" t="b">
        <f aca="false">FALSE()</f>
        <v>0</v>
      </c>
      <c r="J5" s="1" t="b">
        <f aca="false">TRUE()</f>
        <v>1</v>
      </c>
      <c r="K5" s="0" t="n">
        <v>0.000923923078716667</v>
      </c>
      <c r="L5" s="0" t="n">
        <v>0.000639320238483358</v>
      </c>
      <c r="M5" s="0" t="n">
        <v>0.00115960129988508</v>
      </c>
      <c r="N5" s="0" t="n">
        <v>0.000121360530638407</v>
      </c>
      <c r="O5" s="0" t="n">
        <v>9.3586806875702E-005</v>
      </c>
      <c r="P5" s="0" t="s">
        <v>3</v>
      </c>
      <c r="Q5" s="0" t="n">
        <v>15</v>
      </c>
    </row>
    <row r="6" customFormat="false" ht="15" hidden="false" customHeight="false" outlineLevel="0" collapsed="false">
      <c r="A6" s="0" t="n">
        <v>500</v>
      </c>
      <c r="B6" s="0" t="n">
        <v>500</v>
      </c>
      <c r="C6" s="0" t="n">
        <v>4</v>
      </c>
      <c r="D6" s="0" t="n">
        <v>20</v>
      </c>
      <c r="E6" s="0" t="n">
        <v>5</v>
      </c>
      <c r="F6" s="0" t="n">
        <v>1</v>
      </c>
      <c r="G6" s="0" t="n">
        <v>0.001</v>
      </c>
      <c r="H6" s="0" t="n">
        <v>12</v>
      </c>
      <c r="I6" s="1" t="b">
        <f aca="false">FALSE()</f>
        <v>0</v>
      </c>
      <c r="J6" s="1" t="b">
        <f aca="false">TRUE()</f>
        <v>1</v>
      </c>
      <c r="K6" s="0" t="n">
        <v>0.000833877634856898</v>
      </c>
      <c r="L6" s="0" t="n">
        <v>0.000302299847107987</v>
      </c>
      <c r="M6" s="0" t="n">
        <v>0.000894970813287003</v>
      </c>
      <c r="N6" s="0" t="n">
        <v>0.000189280936989612</v>
      </c>
      <c r="O6" s="0" t="n">
        <v>0.000115924664277887</v>
      </c>
      <c r="P6" s="0" t="s">
        <v>3</v>
      </c>
      <c r="Q6" s="0" t="n">
        <v>20</v>
      </c>
    </row>
    <row r="7" customFormat="false" ht="15" hidden="false" customHeight="false" outlineLevel="0" collapsed="false">
      <c r="A7" s="0" t="n">
        <v>500</v>
      </c>
      <c r="B7" s="0" t="n">
        <v>500</v>
      </c>
      <c r="C7" s="0" t="n">
        <v>4</v>
      </c>
      <c r="D7" s="0" t="n">
        <v>25</v>
      </c>
      <c r="E7" s="0" t="n">
        <v>5</v>
      </c>
      <c r="F7" s="0" t="n">
        <v>1</v>
      </c>
      <c r="G7" s="0" t="n">
        <v>0.001</v>
      </c>
      <c r="H7" s="0" t="n">
        <v>12</v>
      </c>
      <c r="I7" s="1" t="b">
        <f aca="false">FALSE()</f>
        <v>0</v>
      </c>
      <c r="J7" s="1" t="b">
        <f aca="false">TRUE()</f>
        <v>1</v>
      </c>
      <c r="K7" s="0" t="n">
        <v>0.000498851904355485</v>
      </c>
      <c r="L7" s="0" t="n">
        <v>0.000323517042868644</v>
      </c>
      <c r="M7" s="0" t="n">
        <v>0.0012844524330938</v>
      </c>
      <c r="N7" s="0" t="n">
        <v>0.000440739804408719</v>
      </c>
      <c r="O7" s="0" t="n">
        <v>0.000250044096819048</v>
      </c>
      <c r="P7" s="0" t="s">
        <v>3</v>
      </c>
      <c r="Q7" s="0" t="n">
        <v>25</v>
      </c>
    </row>
    <row r="8" customFormat="false" ht="15" hidden="false" customHeight="false" outlineLevel="0" collapsed="false">
      <c r="A8" s="0" t="n">
        <v>500</v>
      </c>
      <c r="B8" s="0" t="n">
        <v>500</v>
      </c>
      <c r="C8" s="0" t="n">
        <v>4</v>
      </c>
      <c r="D8" s="0" t="n">
        <v>40</v>
      </c>
      <c r="E8" s="0" t="n">
        <v>5</v>
      </c>
      <c r="F8" s="0" t="n">
        <v>1</v>
      </c>
      <c r="G8" s="0" t="n">
        <v>0.001</v>
      </c>
      <c r="H8" s="0" t="n">
        <v>12</v>
      </c>
      <c r="I8" s="1" t="b">
        <f aca="false">FALSE()</f>
        <v>0</v>
      </c>
      <c r="J8" s="1" t="b">
        <f aca="false">TRUE()</f>
        <v>1</v>
      </c>
      <c r="K8" s="0" t="n">
        <v>0.265202714427013</v>
      </c>
      <c r="L8" s="0" t="n">
        <v>0.0870105890753466</v>
      </c>
      <c r="M8" s="0" t="n">
        <v>0.308235319481552</v>
      </c>
      <c r="N8" s="0" t="n">
        <v>0.000903477103819327</v>
      </c>
      <c r="O8" s="0" t="n">
        <v>0.000187386569105521</v>
      </c>
      <c r="P8" s="0" t="s">
        <v>3</v>
      </c>
      <c r="Q8" s="0" t="n">
        <v>40</v>
      </c>
    </row>
    <row r="9" customFormat="false" ht="15" hidden="false" customHeight="false" outlineLevel="0" collapsed="false">
      <c r="A9" s="0" t="n">
        <v>500</v>
      </c>
      <c r="B9" s="0" t="n">
        <v>500</v>
      </c>
      <c r="C9" s="0" t="n">
        <v>4</v>
      </c>
      <c r="D9" s="0" t="n">
        <v>50</v>
      </c>
      <c r="E9" s="0" t="n">
        <v>5</v>
      </c>
      <c r="F9" s="0" t="n">
        <v>1</v>
      </c>
      <c r="G9" s="0" t="n">
        <v>0.001</v>
      </c>
      <c r="H9" s="0" t="n">
        <v>12</v>
      </c>
      <c r="I9" s="1" t="b">
        <f aca="false">FALSE()</f>
        <v>0</v>
      </c>
      <c r="J9" s="1" t="b">
        <f aca="false">TRUE()</f>
        <v>1</v>
      </c>
      <c r="K9" s="0" t="n">
        <v>0.0153035786442638</v>
      </c>
      <c r="L9" s="0" t="n">
        <v>0.00661500073816461</v>
      </c>
      <c r="M9" s="0" t="n">
        <v>0.0192905967099662</v>
      </c>
      <c r="N9" s="0" t="n">
        <v>0.000296271738158157</v>
      </c>
      <c r="O9" s="0" t="n">
        <v>0.00026362383267627</v>
      </c>
      <c r="P9" s="0" t="s">
        <v>3</v>
      </c>
      <c r="Q9" s="0" t="n">
        <v>50</v>
      </c>
    </row>
    <row r="10" customFormat="false" ht="15" hidden="false" customHeight="false" outlineLevel="0" collapsed="false">
      <c r="A10" s="0" t="n">
        <v>500</v>
      </c>
      <c r="B10" s="0" t="n">
        <v>500</v>
      </c>
      <c r="C10" s="0" t="n">
        <v>4</v>
      </c>
      <c r="D10" s="0" t="n">
        <v>65</v>
      </c>
      <c r="E10" s="0" t="n">
        <v>5</v>
      </c>
      <c r="F10" s="0" t="n">
        <v>1</v>
      </c>
      <c r="G10" s="0" t="n">
        <v>0.001</v>
      </c>
      <c r="H10" s="0" t="n">
        <v>12</v>
      </c>
      <c r="I10" s="1" t="b">
        <f aca="false">FALSE()</f>
        <v>0</v>
      </c>
      <c r="J10" s="1" t="b">
        <f aca="false">TRUE()</f>
        <v>1</v>
      </c>
      <c r="K10" s="0" t="n">
        <v>0.00302759177755435</v>
      </c>
      <c r="L10" s="0" t="n">
        <v>0.000848174083639091</v>
      </c>
      <c r="M10" s="0" t="n">
        <v>0.00355570248187708</v>
      </c>
      <c r="N10" s="0" t="n">
        <v>0.000292329696005446</v>
      </c>
      <c r="O10" s="0" t="n">
        <v>0.000293878656262551</v>
      </c>
      <c r="P10" s="0" t="s">
        <v>3</v>
      </c>
      <c r="Q10" s="0" t="n">
        <v>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</row>
    <row r="2" customFormat="false" ht="15" hidden="false" customHeight="false" outlineLevel="0" collapsed="false">
      <c r="A2" s="0" t="n">
        <v>500</v>
      </c>
      <c r="B2" s="0" t="n">
        <v>500</v>
      </c>
      <c r="C2" s="0" t="n">
        <v>4</v>
      </c>
      <c r="D2" s="0" t="n">
        <v>5</v>
      </c>
      <c r="E2" s="0" t="n">
        <v>5</v>
      </c>
      <c r="F2" s="0" t="n">
        <v>1</v>
      </c>
      <c r="G2" s="0" t="n">
        <v>0.001</v>
      </c>
      <c r="H2" s="0" t="n">
        <v>12</v>
      </c>
      <c r="I2" s="1" t="b">
        <f aca="false">FALSE()</f>
        <v>0</v>
      </c>
      <c r="J2" s="1" t="b">
        <f aca="false">TRUE()</f>
        <v>1</v>
      </c>
      <c r="K2" s="0" t="n">
        <v>4.60965484577719E-005</v>
      </c>
      <c r="L2" s="0" t="n">
        <v>4.20694443780682E-005</v>
      </c>
      <c r="M2" s="0" t="n">
        <v>4.07165538795466E-005</v>
      </c>
      <c r="N2" s="0" t="n">
        <v>2.70680643915973E-005</v>
      </c>
      <c r="O2" s="0" t="n">
        <v>3.39392022331379E-005</v>
      </c>
      <c r="P2" s="0" t="s">
        <v>4</v>
      </c>
      <c r="Q2" s="0" t="n">
        <v>5</v>
      </c>
    </row>
    <row r="3" customFormat="false" ht="15" hidden="false" customHeight="false" outlineLevel="0" collapsed="false">
      <c r="A3" s="0" t="n">
        <v>500</v>
      </c>
      <c r="B3" s="0" t="n">
        <v>500</v>
      </c>
      <c r="C3" s="0" t="n">
        <v>4</v>
      </c>
      <c r="D3" s="0" t="n">
        <v>5</v>
      </c>
      <c r="E3" s="0" t="n">
        <v>6</v>
      </c>
      <c r="F3" s="0" t="n">
        <v>1</v>
      </c>
      <c r="G3" s="0" t="n">
        <v>0.001</v>
      </c>
      <c r="H3" s="0" t="n">
        <v>12</v>
      </c>
      <c r="I3" s="1" t="b">
        <f aca="false">FALSE()</f>
        <v>0</v>
      </c>
      <c r="J3" s="1" t="b">
        <f aca="false">TRUE()</f>
        <v>1</v>
      </c>
      <c r="K3" s="0" t="n">
        <v>4.59921827240388E-005</v>
      </c>
      <c r="L3" s="0" t="n">
        <v>4.1970585394548E-005</v>
      </c>
      <c r="M3" s="0" t="n">
        <v>4.06242400302602E-005</v>
      </c>
      <c r="N3" s="0" t="n">
        <v>2.70229749869404E-005</v>
      </c>
      <c r="O3" s="0" t="n">
        <v>3.38817241891866E-005</v>
      </c>
      <c r="P3" s="0" t="s">
        <v>4</v>
      </c>
      <c r="Q3" s="0" t="n">
        <v>6</v>
      </c>
    </row>
    <row r="4" customFormat="false" ht="15" hidden="false" customHeight="false" outlineLevel="0" collapsed="false">
      <c r="A4" s="0" t="n">
        <v>500</v>
      </c>
      <c r="B4" s="0" t="n">
        <v>500</v>
      </c>
      <c r="C4" s="0" t="n">
        <v>4</v>
      </c>
      <c r="D4" s="0" t="n">
        <v>5</v>
      </c>
      <c r="E4" s="0" t="n">
        <v>7</v>
      </c>
      <c r="F4" s="0" t="n">
        <v>1</v>
      </c>
      <c r="G4" s="0" t="n">
        <v>0.001</v>
      </c>
      <c r="H4" s="0" t="n">
        <v>12</v>
      </c>
      <c r="I4" s="1" t="b">
        <f aca="false">FALSE()</f>
        <v>0</v>
      </c>
      <c r="J4" s="1" t="b">
        <f aca="false">TRUE()</f>
        <v>1</v>
      </c>
      <c r="K4" s="0" t="n">
        <v>4.61280161423662E-005</v>
      </c>
      <c r="L4" s="0" t="n">
        <v>4.20573948758578E-005</v>
      </c>
      <c r="M4" s="0" t="n">
        <v>4.07053947544666E-005</v>
      </c>
      <c r="N4" s="0" t="n">
        <v>2.71257830660084E-005</v>
      </c>
      <c r="O4" s="0" t="n">
        <v>3.39328021831181E-005</v>
      </c>
      <c r="P4" s="0" t="s">
        <v>4</v>
      </c>
      <c r="Q4" s="0" t="n">
        <v>7</v>
      </c>
    </row>
    <row r="5" customFormat="false" ht="15" hidden="false" customHeight="false" outlineLevel="0" collapsed="false">
      <c r="A5" s="0" t="n">
        <v>500</v>
      </c>
      <c r="B5" s="0" t="n">
        <v>500</v>
      </c>
      <c r="C5" s="0" t="n">
        <v>4</v>
      </c>
      <c r="D5" s="0" t="n">
        <v>5</v>
      </c>
      <c r="E5" s="0" t="n">
        <v>8</v>
      </c>
      <c r="F5" s="0" t="n">
        <v>1</v>
      </c>
      <c r="G5" s="0" t="n">
        <v>0.001</v>
      </c>
      <c r="H5" s="0" t="n">
        <v>12</v>
      </c>
      <c r="I5" s="1" t="b">
        <f aca="false">FALSE()</f>
        <v>0</v>
      </c>
      <c r="J5" s="1" t="b">
        <f aca="false">TRUE()</f>
        <v>1</v>
      </c>
      <c r="K5" s="0" t="n">
        <v>4.6090260835988E-005</v>
      </c>
      <c r="L5" s="0" t="n">
        <v>4.2062710435414E-005</v>
      </c>
      <c r="M5" s="0" t="n">
        <v>4.07102524816257E-005</v>
      </c>
      <c r="N5" s="0" t="n">
        <v>2.70647933408463E-005</v>
      </c>
      <c r="O5" s="0" t="n">
        <v>3.39351995048459E-005</v>
      </c>
      <c r="P5" s="0" t="s">
        <v>4</v>
      </c>
      <c r="Q5" s="0" t="n">
        <v>8</v>
      </c>
    </row>
    <row r="6" customFormat="false" ht="15" hidden="false" customHeight="false" outlineLevel="0" collapsed="false">
      <c r="A6" s="0" t="n">
        <v>500</v>
      </c>
      <c r="B6" s="0" t="n">
        <v>500</v>
      </c>
      <c r="C6" s="0" t="n">
        <v>4</v>
      </c>
      <c r="D6" s="0" t="n">
        <v>5</v>
      </c>
      <c r="E6" s="0" t="n">
        <v>9</v>
      </c>
      <c r="F6" s="0" t="n">
        <v>1</v>
      </c>
      <c r="G6" s="0" t="n">
        <v>0.001</v>
      </c>
      <c r="H6" s="0" t="n">
        <v>12</v>
      </c>
      <c r="I6" s="1" t="b">
        <f aca="false">FALSE()</f>
        <v>0</v>
      </c>
      <c r="J6" s="1" t="b">
        <f aca="false">TRUE()</f>
        <v>1</v>
      </c>
      <c r="K6" s="0" t="n">
        <v>4.61664133465153E-005</v>
      </c>
      <c r="L6" s="0" t="n">
        <v>4.21346451576004E-005</v>
      </c>
      <c r="M6" s="0" t="n">
        <v>4.07775733626889E-005</v>
      </c>
      <c r="N6" s="0" t="n">
        <v>2.70984512154495E-005</v>
      </c>
      <c r="O6" s="0" t="n">
        <v>3.39780006654654E-005</v>
      </c>
      <c r="P6" s="0" t="s">
        <v>4</v>
      </c>
      <c r="Q6" s="0" t="n">
        <v>9</v>
      </c>
    </row>
    <row r="7" customFormat="false" ht="15" hidden="false" customHeight="false" outlineLevel="0" collapsed="false">
      <c r="A7" s="0" t="n">
        <v>500</v>
      </c>
      <c r="B7" s="0" t="n">
        <v>500</v>
      </c>
      <c r="C7" s="0" t="n">
        <v>4</v>
      </c>
      <c r="D7" s="0" t="n">
        <v>5</v>
      </c>
      <c r="E7" s="0" t="n">
        <v>10</v>
      </c>
      <c r="F7" s="0" t="n">
        <v>1</v>
      </c>
      <c r="G7" s="0" t="n">
        <v>0.001</v>
      </c>
      <c r="H7" s="0" t="n">
        <v>12</v>
      </c>
      <c r="I7" s="1" t="b">
        <f aca="false">FALSE()</f>
        <v>0</v>
      </c>
      <c r="J7" s="1" t="b">
        <f aca="false">TRUE()</f>
        <v>1</v>
      </c>
      <c r="K7" s="0" t="n">
        <v>4.61588479121116E-005</v>
      </c>
      <c r="L7" s="0" t="n">
        <v>4.21271147665448E-005</v>
      </c>
      <c r="M7" s="0" t="n">
        <v>4.07704455769827E-005</v>
      </c>
      <c r="N7" s="0" t="n">
        <v>2.70965046558781E-005</v>
      </c>
      <c r="O7" s="0" t="n">
        <v>3.39729881345446E-005</v>
      </c>
      <c r="P7" s="0" t="s">
        <v>4</v>
      </c>
      <c r="Q7" s="0" t="n">
        <v>10</v>
      </c>
    </row>
    <row r="8" customFormat="false" ht="15" hidden="false" customHeight="false" outlineLevel="0" collapsed="false">
      <c r="A8" s="0" t="n">
        <v>500</v>
      </c>
      <c r="B8" s="0" t="n">
        <v>500</v>
      </c>
      <c r="C8" s="0" t="n">
        <v>4</v>
      </c>
      <c r="D8" s="0" t="n">
        <v>5</v>
      </c>
      <c r="E8" s="0" t="n">
        <v>11</v>
      </c>
      <c r="F8" s="0" t="n">
        <v>1</v>
      </c>
      <c r="G8" s="0" t="n">
        <v>0.001</v>
      </c>
      <c r="H8" s="0" t="n">
        <v>12</v>
      </c>
      <c r="I8" s="1" t="b">
        <f aca="false">FALSE()</f>
        <v>0</v>
      </c>
      <c r="J8" s="1" t="b">
        <f aca="false">TRUE()</f>
        <v>1</v>
      </c>
      <c r="K8" s="0" t="n">
        <v>4.61446875744548E-005</v>
      </c>
      <c r="L8" s="0" t="n">
        <v>4.21135263474488E-005</v>
      </c>
      <c r="M8" s="0" t="n">
        <v>4.07577819590496E-005</v>
      </c>
      <c r="N8" s="0" t="n">
        <v>2.70904246832762E-005</v>
      </c>
      <c r="O8" s="0" t="n">
        <v>3.39652557027733E-005</v>
      </c>
      <c r="P8" s="0" t="s">
        <v>4</v>
      </c>
      <c r="Q8" s="0" t="n">
        <v>11</v>
      </c>
    </row>
    <row r="9" customFormat="false" ht="15" hidden="false" customHeight="false" outlineLevel="0" collapsed="false">
      <c r="A9" s="0" t="n">
        <v>500</v>
      </c>
      <c r="B9" s="0" t="n">
        <v>500</v>
      </c>
      <c r="C9" s="0" t="n">
        <v>4</v>
      </c>
      <c r="D9" s="0" t="n">
        <v>5</v>
      </c>
      <c r="E9" s="0" t="n">
        <v>12</v>
      </c>
      <c r="F9" s="0" t="n">
        <v>1</v>
      </c>
      <c r="G9" s="0" t="n">
        <v>0.001</v>
      </c>
      <c r="H9" s="0" t="n">
        <v>12</v>
      </c>
      <c r="I9" s="1" t="b">
        <f aca="false">FALSE()</f>
        <v>0</v>
      </c>
      <c r="J9" s="1" t="b">
        <f aca="false">TRUE()</f>
        <v>1</v>
      </c>
      <c r="K9" s="0" t="n">
        <v>4.61131251040945E-005</v>
      </c>
      <c r="L9" s="0" t="n">
        <v>4.2083232490242E-005</v>
      </c>
      <c r="M9" s="0" t="n">
        <v>4.0729467204929E-005</v>
      </c>
      <c r="N9" s="0" t="n">
        <v>2.70761766102274E-005</v>
      </c>
      <c r="O9" s="0" t="n">
        <v>3.39474697847277E-005</v>
      </c>
      <c r="P9" s="0" t="s">
        <v>4</v>
      </c>
      <c r="Q9" s="0" t="n">
        <v>12</v>
      </c>
    </row>
    <row r="10" customFormat="false" ht="15" hidden="false" customHeight="false" outlineLevel="0" collapsed="false">
      <c r="A10" s="0" t="n">
        <v>500</v>
      </c>
      <c r="B10" s="0" t="n">
        <v>500</v>
      </c>
      <c r="C10" s="0" t="n">
        <v>4</v>
      </c>
      <c r="D10" s="0" t="n">
        <v>5</v>
      </c>
      <c r="E10" s="0" t="n">
        <v>13</v>
      </c>
      <c r="F10" s="0" t="n">
        <v>1</v>
      </c>
      <c r="G10" s="0" t="n">
        <v>0.001</v>
      </c>
      <c r="H10" s="0" t="n">
        <v>12</v>
      </c>
      <c r="I10" s="1" t="b">
        <f aca="false">FALSE()</f>
        <v>0</v>
      </c>
      <c r="J10" s="1" t="b">
        <f aca="false">TRUE()</f>
        <v>1</v>
      </c>
      <c r="K10" s="0" t="n">
        <v>4.61837292043091E-005</v>
      </c>
      <c r="L10" s="0" t="n">
        <v>4.21423576085559E-005</v>
      </c>
      <c r="M10" s="0" t="n">
        <v>4.07847901816637E-005</v>
      </c>
      <c r="N10" s="0" t="n">
        <v>2.71064032384389E-005</v>
      </c>
      <c r="O10" s="0" t="n">
        <v>3.39825824911547E-005</v>
      </c>
      <c r="P10" s="0" t="s">
        <v>4</v>
      </c>
      <c r="Q10" s="0" t="n">
        <v>13</v>
      </c>
    </row>
    <row r="11" customFormat="false" ht="15" hidden="false" customHeight="false" outlineLevel="0" collapsed="false">
      <c r="A11" s="0" t="n">
        <v>500</v>
      </c>
      <c r="B11" s="0" t="n">
        <v>500</v>
      </c>
      <c r="C11" s="0" t="n">
        <v>4</v>
      </c>
      <c r="D11" s="0" t="n">
        <v>5</v>
      </c>
      <c r="E11" s="0" t="n">
        <v>14</v>
      </c>
      <c r="F11" s="0" t="n">
        <v>1</v>
      </c>
      <c r="G11" s="0" t="n">
        <v>0.001</v>
      </c>
      <c r="H11" s="0" t="n">
        <v>12</v>
      </c>
      <c r="I11" s="1" t="b">
        <f aca="false">FALSE()</f>
        <v>0</v>
      </c>
      <c r="J11" s="1" t="b">
        <f aca="false">TRUE()</f>
        <v>1</v>
      </c>
      <c r="K11" s="0" t="n">
        <v>4.62465328886746E-005</v>
      </c>
      <c r="L11" s="0" t="n">
        <v>4.21824180990263E-005</v>
      </c>
      <c r="M11" s="0" t="n">
        <v>4.08222827619044E-005</v>
      </c>
      <c r="N11" s="0" t="n">
        <v>2.71345640922141E-005</v>
      </c>
      <c r="O11" s="0" t="n">
        <v>3.40064215679003E-005</v>
      </c>
      <c r="P11" s="0" t="s">
        <v>4</v>
      </c>
      <c r="Q11" s="0" t="n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</row>
    <row r="2" customFormat="false" ht="15" hidden="false" customHeight="false" outlineLevel="0" collapsed="false">
      <c r="A2" s="0" t="n">
        <v>500</v>
      </c>
      <c r="B2" s="0" t="n">
        <v>500</v>
      </c>
      <c r="C2" s="0" t="n">
        <v>4</v>
      </c>
      <c r="D2" s="0" t="n">
        <v>5</v>
      </c>
      <c r="E2" s="0" t="n">
        <v>5</v>
      </c>
      <c r="F2" s="0" t="n">
        <v>1</v>
      </c>
      <c r="G2" s="0" t="n">
        <v>10</v>
      </c>
      <c r="H2" s="0" t="n">
        <v>12</v>
      </c>
      <c r="I2" s="1" t="b">
        <f aca="false">FALSE()</f>
        <v>0</v>
      </c>
      <c r="J2" s="1" t="b">
        <f aca="false">TRUE()</f>
        <v>1</v>
      </c>
      <c r="K2" s="0" t="n">
        <v>1.57676193382411E-005</v>
      </c>
      <c r="L2" s="0" t="n">
        <v>1.23764204468896E-005</v>
      </c>
      <c r="M2" s="0" t="n">
        <v>1.40957460286771E-005</v>
      </c>
      <c r="N2" s="0" t="n">
        <v>1.40974599871961E-005</v>
      </c>
      <c r="O2" s="0" t="n">
        <v>1.76763902416949E-005</v>
      </c>
      <c r="P2" s="0" t="s">
        <v>19</v>
      </c>
      <c r="Q2" s="0" t="n">
        <v>10</v>
      </c>
    </row>
    <row r="3" customFormat="false" ht="15" hidden="false" customHeight="false" outlineLevel="0" collapsed="false">
      <c r="A3" s="0" t="n">
        <v>500</v>
      </c>
      <c r="B3" s="0" t="n">
        <v>500</v>
      </c>
      <c r="C3" s="0" t="n">
        <v>4</v>
      </c>
      <c r="D3" s="0" t="n">
        <v>5</v>
      </c>
      <c r="E3" s="0" t="n">
        <v>5</v>
      </c>
      <c r="F3" s="0" t="n">
        <v>1</v>
      </c>
      <c r="G3" s="0" t="n">
        <v>5</v>
      </c>
      <c r="H3" s="0" t="n">
        <v>12</v>
      </c>
      <c r="I3" s="1" t="b">
        <f aca="false">FALSE()</f>
        <v>0</v>
      </c>
      <c r="J3" s="1" t="b">
        <f aca="false">TRUE()</f>
        <v>1</v>
      </c>
      <c r="K3" s="0" t="n">
        <v>7.88016626043145E-006</v>
      </c>
      <c r="L3" s="0" t="n">
        <v>6.24793808421061E-006</v>
      </c>
      <c r="M3" s="0" t="n">
        <v>1.03273624981117E-005</v>
      </c>
      <c r="N3" s="0" t="n">
        <v>1.08416156125332E-005</v>
      </c>
      <c r="O3" s="0" t="n">
        <v>1.5101258100697E-005</v>
      </c>
      <c r="P3" s="0" t="s">
        <v>19</v>
      </c>
      <c r="Q3" s="0" t="n">
        <v>5</v>
      </c>
    </row>
    <row r="4" customFormat="false" ht="15" hidden="false" customHeight="false" outlineLevel="0" collapsed="false">
      <c r="A4" s="0" t="n">
        <v>500</v>
      </c>
      <c r="B4" s="0" t="n">
        <v>500</v>
      </c>
      <c r="C4" s="0" t="n">
        <v>4</v>
      </c>
      <c r="D4" s="0" t="n">
        <v>5</v>
      </c>
      <c r="E4" s="0" t="n">
        <v>5</v>
      </c>
      <c r="F4" s="0" t="n">
        <v>1</v>
      </c>
      <c r="G4" s="0" t="n">
        <v>1</v>
      </c>
      <c r="H4" s="0" t="n">
        <v>12</v>
      </c>
      <c r="I4" s="1" t="b">
        <f aca="false">FALSE()</f>
        <v>0</v>
      </c>
      <c r="J4" s="1" t="b">
        <f aca="false">TRUE()</f>
        <v>1</v>
      </c>
      <c r="K4" s="0" t="n">
        <v>2.88165886202372E-005</v>
      </c>
      <c r="L4" s="0" t="n">
        <v>1.62101391826622E-005</v>
      </c>
      <c r="M4" s="0" t="n">
        <v>1.62101391824273E-005</v>
      </c>
      <c r="N4" s="0" t="n">
        <v>1.62105133896753E-005</v>
      </c>
      <c r="O4" s="0" t="n">
        <v>1.62104019710973E-005</v>
      </c>
      <c r="P4" s="0" t="s">
        <v>19</v>
      </c>
      <c r="Q4" s="0" t="n">
        <v>1</v>
      </c>
    </row>
    <row r="5" customFormat="false" ht="15" hidden="false" customHeight="false" outlineLevel="0" collapsed="false">
      <c r="A5" s="0" t="n">
        <v>500</v>
      </c>
      <c r="B5" s="0" t="n">
        <v>500</v>
      </c>
      <c r="C5" s="0" t="n">
        <v>4</v>
      </c>
      <c r="D5" s="0" t="n">
        <v>5</v>
      </c>
      <c r="E5" s="0" t="n">
        <v>5</v>
      </c>
      <c r="F5" s="0" t="n">
        <v>1</v>
      </c>
      <c r="G5" s="0" t="n">
        <v>0.5</v>
      </c>
      <c r="H5" s="0" t="n">
        <v>12</v>
      </c>
      <c r="I5" s="1" t="b">
        <f aca="false">FALSE()</f>
        <v>0</v>
      </c>
      <c r="J5" s="1" t="b">
        <f aca="false">TRUE()</f>
        <v>1</v>
      </c>
      <c r="K5" s="0" t="n">
        <v>2.39019429036784E-005</v>
      </c>
      <c r="L5" s="0" t="n">
        <v>1.34811965373703E-005</v>
      </c>
      <c r="M5" s="0" t="n">
        <v>1.45362498066376E-005</v>
      </c>
      <c r="N5" s="0" t="n">
        <v>1.50811072536251E-005</v>
      </c>
      <c r="O5" s="0" t="n">
        <v>1.5665203304478E-005</v>
      </c>
      <c r="P5" s="0" t="s">
        <v>19</v>
      </c>
      <c r="Q5" s="0" t="n">
        <v>0.5</v>
      </c>
    </row>
    <row r="6" customFormat="false" ht="15" hidden="false" customHeight="false" outlineLevel="0" collapsed="false">
      <c r="A6" s="0" t="n">
        <v>500</v>
      </c>
      <c r="B6" s="0" t="n">
        <v>500</v>
      </c>
      <c r="C6" s="0" t="n">
        <v>4</v>
      </c>
      <c r="D6" s="0" t="n">
        <v>5</v>
      </c>
      <c r="E6" s="0" t="n">
        <v>5</v>
      </c>
      <c r="F6" s="0" t="n">
        <v>1</v>
      </c>
      <c r="G6" s="0" t="n">
        <v>0.1</v>
      </c>
      <c r="H6" s="0" t="n">
        <v>12</v>
      </c>
      <c r="I6" s="1" t="b">
        <f aca="false">FALSE()</f>
        <v>0</v>
      </c>
      <c r="J6" s="1" t="b">
        <f aca="false">TRUE()</f>
        <v>1</v>
      </c>
      <c r="K6" s="0" t="n">
        <v>1.57510797096426E-005</v>
      </c>
      <c r="L6" s="0" t="n">
        <v>1.23629412998957E-005</v>
      </c>
      <c r="M6" s="0" t="n">
        <v>1.40858471306068E-005</v>
      </c>
      <c r="N6" s="0" t="n">
        <v>1.40937465051557E-005</v>
      </c>
      <c r="O6" s="0" t="n">
        <v>1.76723523330642E-005</v>
      </c>
      <c r="P6" s="0" t="s">
        <v>19</v>
      </c>
      <c r="Q6" s="0" t="n">
        <v>0.1</v>
      </c>
    </row>
    <row r="7" customFormat="false" ht="15" hidden="false" customHeight="false" outlineLevel="0" collapsed="false">
      <c r="A7" s="0" t="n">
        <v>500</v>
      </c>
      <c r="B7" s="0" t="n">
        <v>500</v>
      </c>
      <c r="C7" s="0" t="n">
        <v>4</v>
      </c>
      <c r="D7" s="0" t="n">
        <v>5</v>
      </c>
      <c r="E7" s="0" t="n">
        <v>5</v>
      </c>
      <c r="F7" s="0" t="n">
        <v>1</v>
      </c>
      <c r="G7" s="0" t="n">
        <v>0.05</v>
      </c>
      <c r="H7" s="0" t="n">
        <v>12</v>
      </c>
      <c r="I7" s="1" t="b">
        <f aca="false">FALSE()</f>
        <v>0</v>
      </c>
      <c r="J7" s="1" t="b">
        <f aca="false">TRUE()</f>
        <v>1</v>
      </c>
      <c r="K7" s="0" t="n">
        <v>2.63814249317347E-005</v>
      </c>
      <c r="L7" s="0" t="n">
        <v>2.24760128533223E-005</v>
      </c>
      <c r="M7" s="0" t="n">
        <v>2.24684687605449E-005</v>
      </c>
      <c r="N7" s="0" t="n">
        <v>1.7284933718759E-005</v>
      </c>
      <c r="O7" s="0" t="n">
        <v>2.24443027157092E-005</v>
      </c>
      <c r="P7" s="0" t="s">
        <v>19</v>
      </c>
      <c r="Q7" s="0" t="n">
        <v>0.05</v>
      </c>
    </row>
    <row r="8" customFormat="false" ht="15" hidden="false" customHeight="false" outlineLevel="0" collapsed="false">
      <c r="A8" s="0" t="n">
        <v>500</v>
      </c>
      <c r="B8" s="0" t="n">
        <v>500</v>
      </c>
      <c r="C8" s="0" t="n">
        <v>4</v>
      </c>
      <c r="D8" s="0" t="n">
        <v>5</v>
      </c>
      <c r="E8" s="0" t="n">
        <v>5</v>
      </c>
      <c r="F8" s="0" t="n">
        <v>1</v>
      </c>
      <c r="G8" s="0" t="n">
        <v>0.01</v>
      </c>
      <c r="H8" s="0" t="n">
        <v>12</v>
      </c>
      <c r="I8" s="1" t="b">
        <f aca="false">FALSE()</f>
        <v>0</v>
      </c>
      <c r="J8" s="1" t="b">
        <f aca="false">TRUE()</f>
        <v>1</v>
      </c>
      <c r="K8" s="0" t="n">
        <v>4.1275925544242E-005</v>
      </c>
      <c r="L8" s="0" t="n">
        <v>3.7252345120549E-005</v>
      </c>
      <c r="M8" s="0" t="n">
        <v>3.61245569495373E-005</v>
      </c>
      <c r="N8" s="0" t="n">
        <v>2.46649307590577E-005</v>
      </c>
      <c r="O8" s="0" t="n">
        <v>3.0949509723815E-005</v>
      </c>
      <c r="P8" s="0" t="s">
        <v>19</v>
      </c>
      <c r="Q8" s="0" t="n">
        <v>0.01</v>
      </c>
    </row>
    <row r="9" customFormat="false" ht="15" hidden="false" customHeight="false" outlineLevel="0" collapsed="false">
      <c r="A9" s="0" t="n">
        <v>500</v>
      </c>
      <c r="B9" s="0" t="n">
        <v>500</v>
      </c>
      <c r="C9" s="0" t="n">
        <v>4</v>
      </c>
      <c r="D9" s="0" t="n">
        <v>5</v>
      </c>
      <c r="E9" s="0" t="n">
        <v>5</v>
      </c>
      <c r="F9" s="0" t="n">
        <v>1</v>
      </c>
      <c r="G9" s="0" t="n">
        <v>0.005</v>
      </c>
      <c r="H9" s="0" t="n">
        <v>12</v>
      </c>
      <c r="I9" s="1" t="b">
        <f aca="false">FALSE()</f>
        <v>0</v>
      </c>
      <c r="J9" s="1" t="b">
        <f aca="false">TRUE()</f>
        <v>1</v>
      </c>
      <c r="K9" s="0" t="n">
        <v>4.38609456006563E-005</v>
      </c>
      <c r="L9" s="0" t="n">
        <v>3.9835188980806E-005</v>
      </c>
      <c r="M9" s="0" t="n">
        <v>3.85813036463638E-005</v>
      </c>
      <c r="N9" s="0" t="n">
        <v>2.59542670577583E-005</v>
      </c>
      <c r="O9" s="0" t="n">
        <v>3.25432011757772E-005</v>
      </c>
      <c r="P9" s="0" t="s">
        <v>19</v>
      </c>
      <c r="Q9" s="0" t="n">
        <v>0.005</v>
      </c>
    </row>
    <row r="10" customFormat="false" ht="15" hidden="false" customHeight="false" outlineLevel="0" collapsed="false">
      <c r="A10" s="0" t="n">
        <v>500</v>
      </c>
      <c r="B10" s="0" t="n">
        <v>500</v>
      </c>
      <c r="C10" s="0" t="n">
        <v>4</v>
      </c>
      <c r="D10" s="0" t="n">
        <v>5</v>
      </c>
      <c r="E10" s="0" t="n">
        <v>5</v>
      </c>
      <c r="F10" s="0" t="n">
        <v>1</v>
      </c>
      <c r="G10" s="0" t="n">
        <v>0.001</v>
      </c>
      <c r="H10" s="0" t="n">
        <v>12</v>
      </c>
      <c r="I10" s="1" t="b">
        <f aca="false">FALSE()</f>
        <v>0</v>
      </c>
      <c r="J10" s="1" t="b">
        <f aca="false">TRUE()</f>
        <v>1</v>
      </c>
      <c r="K10" s="0" t="n">
        <v>4.60965484577719E-005</v>
      </c>
      <c r="L10" s="0" t="n">
        <v>4.20694443780682E-005</v>
      </c>
      <c r="M10" s="0" t="n">
        <v>4.07165538795466E-005</v>
      </c>
      <c r="N10" s="0" t="n">
        <v>2.70680643915973E-005</v>
      </c>
      <c r="O10" s="0" t="n">
        <v>3.39392022331379E-005</v>
      </c>
      <c r="P10" s="0" t="s">
        <v>19</v>
      </c>
      <c r="Q10" s="0" t="n">
        <v>0.001</v>
      </c>
    </row>
    <row r="11" customFormat="false" ht="15" hidden="false" customHeight="false" outlineLevel="0" collapsed="false">
      <c r="A11" s="0" t="n">
        <v>500</v>
      </c>
      <c r="B11" s="0" t="n">
        <v>500</v>
      </c>
      <c r="C11" s="0" t="n">
        <v>4</v>
      </c>
      <c r="D11" s="0" t="n">
        <v>5</v>
      </c>
      <c r="E11" s="0" t="n">
        <v>5</v>
      </c>
      <c r="F11" s="0" t="n">
        <v>1</v>
      </c>
      <c r="G11" s="0" t="n">
        <v>0.0005</v>
      </c>
      <c r="H11" s="0" t="n">
        <v>12</v>
      </c>
      <c r="I11" s="1" t="b">
        <f aca="false">FALSE()</f>
        <v>0</v>
      </c>
      <c r="J11" s="1" t="b">
        <f aca="false">TRUE()</f>
        <v>1</v>
      </c>
      <c r="K11" s="0" t="n">
        <v>4.63873048629213E-005</v>
      </c>
      <c r="L11" s="0" t="n">
        <v>4.23601121579278E-005</v>
      </c>
      <c r="M11" s="0" t="n">
        <v>4.09949585694019E-005</v>
      </c>
      <c r="N11" s="0" t="n">
        <v>2.72128939479138E-005</v>
      </c>
      <c r="O11" s="0" t="n">
        <v>3.41218999571264E-005</v>
      </c>
      <c r="P11" s="0" t="s">
        <v>19</v>
      </c>
      <c r="Q11" s="0" t="n">
        <v>0.0005</v>
      </c>
    </row>
    <row r="12" customFormat="false" ht="15" hidden="false" customHeight="false" outlineLevel="0" collapsed="false">
      <c r="A12" s="0" t="n">
        <v>500</v>
      </c>
      <c r="B12" s="0" t="n">
        <v>500</v>
      </c>
      <c r="C12" s="0" t="n">
        <v>4</v>
      </c>
      <c r="D12" s="0" t="n">
        <v>5</v>
      </c>
      <c r="E12" s="0" t="n">
        <v>5</v>
      </c>
      <c r="F12" s="0" t="n">
        <v>1</v>
      </c>
      <c r="G12" s="0" t="n">
        <v>0.0001</v>
      </c>
      <c r="H12" s="0" t="n">
        <v>12</v>
      </c>
      <c r="I12" s="1" t="b">
        <f aca="false">FALSE()</f>
        <v>0</v>
      </c>
      <c r="J12" s="1" t="b">
        <f aca="false">TRUE()</f>
        <v>1</v>
      </c>
      <c r="K12" s="0" t="n">
        <v>4.66217908259932E-005</v>
      </c>
      <c r="L12" s="0" t="n">
        <v>4.25945399355573E-005</v>
      </c>
      <c r="M12" s="0" t="n">
        <v>4.12195940053713E-005</v>
      </c>
      <c r="N12" s="0" t="n">
        <v>2.7329991165337E-005</v>
      </c>
      <c r="O12" s="0" t="n">
        <v>3.42694215754588E-005</v>
      </c>
      <c r="P12" s="0" t="s">
        <v>19</v>
      </c>
      <c r="Q12" s="0" t="n">
        <v>0.0001</v>
      </c>
    </row>
    <row r="13" customFormat="false" ht="15" hidden="false" customHeight="false" outlineLevel="0" collapsed="false">
      <c r="A13" s="0" t="n">
        <v>500</v>
      </c>
      <c r="B13" s="0" t="n">
        <v>500</v>
      </c>
      <c r="C13" s="0" t="n">
        <v>4</v>
      </c>
      <c r="D13" s="0" t="n">
        <v>5</v>
      </c>
      <c r="E13" s="0" t="n">
        <v>5</v>
      </c>
      <c r="F13" s="0" t="n">
        <v>1</v>
      </c>
      <c r="G13" s="0" t="n">
        <v>5E-005</v>
      </c>
      <c r="H13" s="0" t="n">
        <v>12</v>
      </c>
      <c r="I13" s="1" t="b">
        <f aca="false">FALSE()</f>
        <v>0</v>
      </c>
      <c r="J13" s="1" t="b">
        <f aca="false">TRUE()</f>
        <v>1</v>
      </c>
      <c r="K13" s="0" t="n">
        <v>4.66512216947971E-005</v>
      </c>
      <c r="L13" s="0" t="n">
        <v>4.26239630279393E-005</v>
      </c>
      <c r="M13" s="0" t="n">
        <v>4.12477941318129E-005</v>
      </c>
      <c r="N13" s="0" t="n">
        <v>2.73446862951948E-005</v>
      </c>
      <c r="O13" s="0" t="n">
        <v>3.42879474748084E-005</v>
      </c>
      <c r="P13" s="0" t="s">
        <v>19</v>
      </c>
      <c r="Q13" s="0" t="n">
        <v>5E-005</v>
      </c>
    </row>
    <row r="14" customFormat="false" ht="15" hidden="false" customHeight="false" outlineLevel="0" collapsed="false">
      <c r="A14" s="0" t="n">
        <v>500</v>
      </c>
      <c r="B14" s="0" t="n">
        <v>500</v>
      </c>
      <c r="C14" s="0" t="n">
        <v>4</v>
      </c>
      <c r="D14" s="0" t="n">
        <v>5</v>
      </c>
      <c r="E14" s="0" t="n">
        <v>5</v>
      </c>
      <c r="F14" s="0" t="n">
        <v>1</v>
      </c>
      <c r="G14" s="0" t="n">
        <v>1E-005</v>
      </c>
      <c r="H14" s="0" t="n">
        <v>12</v>
      </c>
      <c r="I14" s="1" t="b">
        <f aca="false">FALSE()</f>
        <v>0</v>
      </c>
      <c r="J14" s="1" t="b">
        <f aca="false">TRUE()</f>
        <v>1</v>
      </c>
      <c r="K14" s="0" t="n">
        <v>4.66747908908312E-005</v>
      </c>
      <c r="L14" s="0" t="n">
        <v>4.26475258195076E-005</v>
      </c>
      <c r="M14" s="0" t="n">
        <v>4.12703784574326E-005</v>
      </c>
      <c r="N14" s="0" t="n">
        <v>2.73564532029539E-005</v>
      </c>
      <c r="O14" s="0" t="n">
        <v>3.43027852802838E-005</v>
      </c>
      <c r="P14" s="0" t="s">
        <v>19</v>
      </c>
      <c r="Q14" s="0" t="n">
        <v>1E-005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</row>
    <row r="2" customFormat="false" ht="15" hidden="false" customHeight="false" outlineLevel="0" collapsed="false">
      <c r="A2" s="0" t="n">
        <v>500</v>
      </c>
      <c r="B2" s="0" t="n">
        <v>500</v>
      </c>
      <c r="C2" s="0" t="n">
        <v>4</v>
      </c>
      <c r="D2" s="0" t="n">
        <v>5</v>
      </c>
      <c r="E2" s="0" t="n">
        <v>5</v>
      </c>
      <c r="F2" s="0" t="n">
        <v>1</v>
      </c>
      <c r="G2" s="0" t="n">
        <v>0.001</v>
      </c>
      <c r="H2" s="0" t="n">
        <v>0</v>
      </c>
      <c r="I2" s="1" t="b">
        <f aca="false">FALSE()</f>
        <v>0</v>
      </c>
      <c r="J2" s="1" t="b">
        <f aca="false">TRUE()</f>
        <v>1</v>
      </c>
      <c r="K2" s="0" t="n">
        <v>4.61285040158147E-005</v>
      </c>
      <c r="L2" s="0" t="n">
        <v>4.20988893841503E-005</v>
      </c>
      <c r="M2" s="0" t="n">
        <v>4.07441641307255E-005</v>
      </c>
      <c r="N2" s="0" t="n">
        <v>2.70832629282663E-005</v>
      </c>
      <c r="O2" s="0" t="n">
        <v>3.39570783692841E-005</v>
      </c>
      <c r="P2" s="0" t="s">
        <v>20</v>
      </c>
      <c r="Q2" s="0" t="n">
        <v>0</v>
      </c>
    </row>
    <row r="3" customFormat="false" ht="15" hidden="false" customHeight="false" outlineLevel="0" collapsed="false">
      <c r="A3" s="0" t="n">
        <v>500</v>
      </c>
      <c r="B3" s="0" t="n">
        <v>500</v>
      </c>
      <c r="C3" s="0" t="n">
        <v>4</v>
      </c>
      <c r="D3" s="0" t="n">
        <v>5</v>
      </c>
      <c r="E3" s="0" t="n">
        <v>5</v>
      </c>
      <c r="F3" s="0" t="n">
        <v>1</v>
      </c>
      <c r="G3" s="0" t="n">
        <v>0.001</v>
      </c>
      <c r="H3" s="0" t="n">
        <v>4</v>
      </c>
      <c r="I3" s="1" t="b">
        <f aca="false">FALSE()</f>
        <v>0</v>
      </c>
      <c r="J3" s="1" t="b">
        <f aca="false">TRUE()</f>
        <v>1</v>
      </c>
      <c r="K3" s="0" t="n">
        <v>0.578627249238613</v>
      </c>
      <c r="L3" s="0" t="n">
        <v>0.418690172450838</v>
      </c>
      <c r="M3" s="0" t="n">
        <v>0.493465807702004</v>
      </c>
      <c r="N3" s="0" t="n">
        <v>0.616782381432446</v>
      </c>
      <c r="O3" s="0" t="n">
        <v>0.551756478429073</v>
      </c>
      <c r="P3" s="0" t="s">
        <v>20</v>
      </c>
      <c r="Q3" s="0" t="n">
        <v>4</v>
      </c>
    </row>
    <row r="4" customFormat="false" ht="15" hidden="false" customHeight="false" outlineLevel="0" collapsed="false">
      <c r="A4" s="0" t="n">
        <v>500</v>
      </c>
      <c r="B4" s="0" t="n">
        <v>500</v>
      </c>
      <c r="C4" s="0" t="n">
        <v>4</v>
      </c>
      <c r="D4" s="0" t="n">
        <v>5</v>
      </c>
      <c r="E4" s="0" t="n">
        <v>5</v>
      </c>
      <c r="F4" s="0" t="n">
        <v>1</v>
      </c>
      <c r="G4" s="0" t="n">
        <v>0.001</v>
      </c>
      <c r="H4" s="0" t="n">
        <v>6</v>
      </c>
      <c r="I4" s="1" t="b">
        <f aca="false">FALSE()</f>
        <v>0</v>
      </c>
      <c r="J4" s="1" t="b">
        <f aca="false">TRUE()</f>
        <v>1</v>
      </c>
      <c r="K4" s="0" t="n">
        <v>0.637804682439765</v>
      </c>
      <c r="L4" s="0" t="n">
        <v>0.482766461151281</v>
      </c>
      <c r="M4" s="0" t="n">
        <v>0.476577623414806</v>
      </c>
      <c r="N4" s="0" t="n">
        <v>0.598702332980415</v>
      </c>
      <c r="O4" s="0" t="n">
        <v>0.512230371135603</v>
      </c>
      <c r="P4" s="0" t="s">
        <v>20</v>
      </c>
      <c r="Q4" s="0" t="n">
        <v>6</v>
      </c>
    </row>
    <row r="5" customFormat="false" ht="15" hidden="false" customHeight="false" outlineLevel="0" collapsed="false">
      <c r="A5" s="0" t="n">
        <v>500</v>
      </c>
      <c r="B5" s="0" t="n">
        <v>500</v>
      </c>
      <c r="C5" s="0" t="n">
        <v>4</v>
      </c>
      <c r="D5" s="0" t="n">
        <v>5</v>
      </c>
      <c r="E5" s="0" t="n">
        <v>5</v>
      </c>
      <c r="F5" s="0" t="n">
        <v>1</v>
      </c>
      <c r="G5" s="0" t="n">
        <v>0.001</v>
      </c>
      <c r="H5" s="0" t="n">
        <v>8</v>
      </c>
      <c r="I5" s="1" t="b">
        <f aca="false">FALSE()</f>
        <v>0</v>
      </c>
      <c r="J5" s="1" t="b">
        <f aca="false">TRUE()</f>
        <v>1</v>
      </c>
      <c r="K5" s="0" t="n">
        <v>0.578627248273295</v>
      </c>
      <c r="L5" s="0" t="n">
        <v>0.418690171299203</v>
      </c>
      <c r="M5" s="0" t="n">
        <v>0.493465750913468</v>
      </c>
      <c r="N5" s="0" t="n">
        <v>0.616782381432938</v>
      </c>
      <c r="O5" s="0" t="n">
        <v>0.551756478436794</v>
      </c>
      <c r="P5" s="0" t="s">
        <v>20</v>
      </c>
      <c r="Q5" s="0" t="n">
        <v>8</v>
      </c>
    </row>
    <row r="6" customFormat="false" ht="15" hidden="false" customHeight="false" outlineLevel="0" collapsed="false">
      <c r="A6" s="0" t="n">
        <v>500</v>
      </c>
      <c r="B6" s="0" t="n">
        <v>500</v>
      </c>
      <c r="C6" s="0" t="n">
        <v>4</v>
      </c>
      <c r="D6" s="0" t="n">
        <v>5</v>
      </c>
      <c r="E6" s="0" t="n">
        <v>5</v>
      </c>
      <c r="F6" s="0" t="n">
        <v>1</v>
      </c>
      <c r="G6" s="0" t="n">
        <v>0.001</v>
      </c>
      <c r="H6" s="0" t="n">
        <v>12</v>
      </c>
      <c r="I6" s="1" t="b">
        <f aca="false">FALSE()</f>
        <v>0</v>
      </c>
      <c r="J6" s="1" t="b">
        <f aca="false">TRUE()</f>
        <v>1</v>
      </c>
      <c r="K6" s="0" t="n">
        <v>4.60965484577719E-005</v>
      </c>
      <c r="L6" s="0" t="n">
        <v>4.20694443780682E-005</v>
      </c>
      <c r="M6" s="0" t="n">
        <v>4.07165538795466E-005</v>
      </c>
      <c r="N6" s="0" t="n">
        <v>2.70680643915973E-005</v>
      </c>
      <c r="O6" s="0" t="n">
        <v>3.39392022331379E-005</v>
      </c>
      <c r="P6" s="0" t="s">
        <v>20</v>
      </c>
      <c r="Q6" s="0" t="n">
        <v>12</v>
      </c>
    </row>
    <row r="7" customFormat="false" ht="15" hidden="false" customHeight="false" outlineLevel="0" collapsed="false">
      <c r="A7" s="0" t="n">
        <v>500</v>
      </c>
      <c r="B7" s="0" t="n">
        <v>500</v>
      </c>
      <c r="C7" s="0" t="n">
        <v>4</v>
      </c>
      <c r="D7" s="0" t="n">
        <v>5</v>
      </c>
      <c r="E7" s="0" t="n">
        <v>5</v>
      </c>
      <c r="F7" s="0" t="n">
        <v>1</v>
      </c>
      <c r="G7" s="0" t="n">
        <v>0.001</v>
      </c>
      <c r="H7" s="0" t="n">
        <v>16</v>
      </c>
      <c r="I7" s="1" t="b">
        <f aca="false">FALSE()</f>
        <v>0</v>
      </c>
      <c r="J7" s="1" t="b">
        <f aca="false">TRUE()</f>
        <v>1</v>
      </c>
      <c r="K7" s="0" t="n">
        <v>0.578627248350688</v>
      </c>
      <c r="L7" s="0" t="n">
        <v>0.418690171297721</v>
      </c>
      <c r="M7" s="0" t="n">
        <v>0.493465763434172</v>
      </c>
      <c r="N7" s="0" t="n">
        <v>0.616782381432901</v>
      </c>
      <c r="O7" s="0" t="n">
        <v>0.551756478428086</v>
      </c>
      <c r="P7" s="0" t="s">
        <v>20</v>
      </c>
      <c r="Q7" s="0" t="n">
        <v>16</v>
      </c>
    </row>
    <row r="8" customFormat="false" ht="15" hidden="false" customHeight="false" outlineLevel="0" collapsed="false">
      <c r="A8" s="0" t="n">
        <v>500</v>
      </c>
      <c r="B8" s="0" t="n">
        <v>500</v>
      </c>
      <c r="C8" s="0" t="n">
        <v>4</v>
      </c>
      <c r="D8" s="0" t="n">
        <v>5</v>
      </c>
      <c r="E8" s="0" t="n">
        <v>5</v>
      </c>
      <c r="F8" s="0" t="n">
        <v>1</v>
      </c>
      <c r="G8" s="0" t="n">
        <v>0.001</v>
      </c>
      <c r="H8" s="0" t="n">
        <v>18</v>
      </c>
      <c r="I8" s="1" t="b">
        <f aca="false">FALSE()</f>
        <v>0</v>
      </c>
      <c r="J8" s="1" t="b">
        <f aca="false">TRUE()</f>
        <v>1</v>
      </c>
      <c r="K8" s="0" t="n">
        <v>0.637804682469128</v>
      </c>
      <c r="L8" s="0" t="n">
        <v>0.482766461136535</v>
      </c>
      <c r="M8" s="0" t="n">
        <v>0.476577631565162</v>
      </c>
      <c r="N8" s="0" t="n">
        <v>0.598702332980414</v>
      </c>
      <c r="O8" s="0" t="n">
        <v>0.512230371129683</v>
      </c>
      <c r="P8" s="0" t="s">
        <v>20</v>
      </c>
      <c r="Q8" s="0" t="n">
        <v>18</v>
      </c>
    </row>
    <row r="9" customFormat="false" ht="15" hidden="false" customHeight="false" outlineLevel="0" collapsed="false">
      <c r="A9" s="0" t="n">
        <v>500</v>
      </c>
      <c r="B9" s="0" t="n">
        <v>500</v>
      </c>
      <c r="C9" s="0" t="n">
        <v>4</v>
      </c>
      <c r="D9" s="0" t="n">
        <v>5</v>
      </c>
      <c r="E9" s="0" t="n">
        <v>5</v>
      </c>
      <c r="F9" s="0" t="n">
        <v>1</v>
      </c>
      <c r="G9" s="0" t="n">
        <v>0.001</v>
      </c>
      <c r="H9" s="0" t="n">
        <v>20</v>
      </c>
      <c r="I9" s="1" t="b">
        <f aca="false">FALSE()</f>
        <v>0</v>
      </c>
      <c r="J9" s="1" t="b">
        <f aca="false">TRUE()</f>
        <v>1</v>
      </c>
      <c r="K9" s="0" t="n">
        <v>0.578627249541716</v>
      </c>
      <c r="L9" s="0" t="n">
        <v>0.418690172465343</v>
      </c>
      <c r="M9" s="0" t="n">
        <v>0.493465815871408</v>
      </c>
      <c r="N9" s="0" t="n">
        <v>0.616782381432479</v>
      </c>
      <c r="O9" s="0" t="n">
        <v>0.551756478435784</v>
      </c>
      <c r="P9" s="0" t="s">
        <v>20</v>
      </c>
      <c r="Q9" s="0" t="n">
        <v>20</v>
      </c>
    </row>
    <row r="10" customFormat="false" ht="15" hidden="false" customHeight="false" outlineLevel="0" collapsed="false">
      <c r="A10" s="0" t="n">
        <v>500</v>
      </c>
      <c r="B10" s="0" t="n">
        <v>500</v>
      </c>
      <c r="C10" s="0" t="n">
        <v>4</v>
      </c>
      <c r="D10" s="0" t="n">
        <v>5</v>
      </c>
      <c r="E10" s="0" t="n">
        <v>5</v>
      </c>
      <c r="F10" s="0" t="n">
        <v>1</v>
      </c>
      <c r="G10" s="0" t="n">
        <v>0.001</v>
      </c>
      <c r="H10" s="0" t="n">
        <v>24</v>
      </c>
      <c r="I10" s="1" t="b">
        <f aca="false">FALSE()</f>
        <v>0</v>
      </c>
      <c r="J10" s="1" t="b">
        <f aca="false">TRUE()</f>
        <v>1</v>
      </c>
      <c r="K10" s="0" t="n">
        <v>4.61285040158147E-005</v>
      </c>
      <c r="L10" s="0" t="n">
        <v>4.20988893841488E-005</v>
      </c>
      <c r="M10" s="0" t="n">
        <v>4.07441641307263E-005</v>
      </c>
      <c r="N10" s="0" t="n">
        <v>2.70832629282663E-005</v>
      </c>
      <c r="O10" s="0" t="n">
        <v>3.39570783692841E-005</v>
      </c>
      <c r="P10" s="0" t="s">
        <v>20</v>
      </c>
      <c r="Q10" s="0" t="n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2026-07-15T21:29:50Z</dcterms:created>
  <dc:creator>openpyxl</dc:creator>
  <dc:description/>
  <dc:language>en-US</dc:language>
  <cp:lastModifiedBy/>
  <dcterms:modified xsi:type="dcterms:W3CDTF">2026-07-20T15:07:39Z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