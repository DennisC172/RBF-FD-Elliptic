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d Size" sheetId="1" state="visible" r:id="rId3"/>
    <sheet name="Length Scale" sheetId="2" state="visible" r:id="rId4"/>
    <sheet name="Stencil Nodes" sheetId="3" state="visible" r:id="rId5"/>
    <sheet name="Center Rings" sheetId="4" state="visible" r:id="rId6"/>
    <sheet name="Eigenvalue Ratio" sheetId="5" state="visible" r:id="rId7"/>
    <sheet name="Eigenvector Ang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<sst xmlns="http://schemas.openxmlformats.org/spreadsheetml/2006/main" count="396" uniqueCount="45">
  <si>
    <t xml:space="preserve">Nx</t>
  </si>
  <si>
    <t xml:space="preserve">Ny</t>
  </si>
  <si>
    <t xml:space="preserve">eps</t>
  </si>
  <si>
    <t xml:space="preserve">num_stencil_nodes</t>
  </si>
  <si>
    <t xml:space="preserve">num_rings</t>
  </si>
  <si>
    <t xml:space="preserve">eigenvalue 1</t>
  </si>
  <si>
    <t xml:space="preserve">eigenvalue 2</t>
  </si>
  <si>
    <t xml:space="preserve">radian = r/24</t>
  </si>
  <si>
    <t xml:space="preserve">augmentation</t>
  </si>
  <si>
    <t xml:space="preserve">sparse</t>
  </si>
  <si>
    <t xml:space="preserve">u_exact - u max_error_rel</t>
  </si>
  <si>
    <t xml:space="preserve">u_exact - u l2_error_rel</t>
  </si>
  <si>
    <t xml:space="preserve">energy_error_rel</t>
  </si>
  <si>
    <t xml:space="preserve">Lu_exact - F max_residual_rel</t>
  </si>
  <si>
    <t xml:space="preserve">Lu_exact - F l2_residual_rel</t>
  </si>
  <si>
    <t xml:space="preserve">varied_param</t>
  </si>
  <si>
    <t xml:space="preserve">varied_value</t>
  </si>
  <si>
    <t xml:space="preserve">lambda p: 1e0</t>
  </si>
  <si>
    <t xml:space="preserve">lambda p: 1e-3</t>
  </si>
  <si>
    <t xml:space="preserve">lambda p: 12.0/24.0*np.pi</t>
  </si>
  <si>
    <t xml:space="preserve">N_int</t>
  </si>
  <si>
    <t xml:space="preserve">Inverse Length Scale</t>
  </si>
  <si>
    <t xml:space="preserve">lambda p: 10.0</t>
  </si>
  <si>
    <t xml:space="preserve">eig_2</t>
  </si>
  <si>
    <t xml:space="preserve">lambda p: 5.0</t>
  </si>
  <si>
    <t xml:space="preserve">lambda p: 1.0</t>
  </si>
  <si>
    <t xml:space="preserve">lambda p: 0.5</t>
  </si>
  <si>
    <t xml:space="preserve">lambda p: 0.1</t>
  </si>
  <si>
    <t xml:space="preserve">lambda p: 0.05</t>
  </si>
  <si>
    <t xml:space="preserve">lambda p: 0.01</t>
  </si>
  <si>
    <t xml:space="preserve">lambda p: 0.005</t>
  </si>
  <si>
    <t xml:space="preserve">lambda p: 0.001</t>
  </si>
  <si>
    <t xml:space="preserve">lambda p: 0.0005</t>
  </si>
  <si>
    <t xml:space="preserve">lambda p: 0.0001</t>
  </si>
  <si>
    <t xml:space="preserve">lambda p: 5e-05</t>
  </si>
  <si>
    <t xml:space="preserve">lambda p: 1e-05</t>
  </si>
  <si>
    <t xml:space="preserve">lambda p: 0.0/24.0*np.pi</t>
  </si>
  <si>
    <t xml:space="preserve">angle</t>
  </si>
  <si>
    <t xml:space="preserve">lambda p: 4.0/24.0*np.pi</t>
  </si>
  <si>
    <t xml:space="preserve">lambda p: 6.0/24.0*np.pi</t>
  </si>
  <si>
    <t xml:space="preserve">lambda p: 8.0/24.0*np.pi</t>
  </si>
  <si>
    <t xml:space="preserve">lambda p: 16.0/24.0*np.pi</t>
  </si>
  <si>
    <t xml:space="preserve">lambda p: 18.0/24.0*np.pi</t>
  </si>
  <si>
    <t xml:space="preserve">lambda p: 20.0/24.0*np.pi</t>
  </si>
  <si>
    <t xml:space="preserve">lambda p: 24.0/24.0*np.pi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</si>
</sst>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9467BD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Grid Size: Relative Errors &amp; Residuals vs N_int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Size'!$K$2:$K$14</c:f>
              <c:numCache>
                <c:formatCode>General</c:formatCode>
                <c:ptCount val="13"/>
                <c:pt idx="0">
                  <c:v>0.0467065293036513</c:v>
                </c:pt>
                <c:pt idx="1">
                  <c:v>0.0215919000210676</c:v>
                </c:pt>
                <c:pt idx="2">
                  <c:v>0.00802535040980834</c:v>
                </c:pt>
                <c:pt idx="3">
                  <c:v>0.00363358259860114</c:v>
                </c:pt>
                <c:pt idx="4">
                  <c:v>0.00206266233902108</c:v>
                </c:pt>
                <c:pt idx="5">
                  <c:v>0.00132697349591471</c:v>
                </c:pt>
                <c:pt idx="6">
                  <c:v>0.000924535488269096</c:v>
                </c:pt>
                <c:pt idx="7">
                  <c:v>0.000680803671653796</c:v>
                </c:pt>
                <c:pt idx="8">
                  <c:v>0.000522108075476479</c:v>
                </c:pt>
                <c:pt idx="9">
                  <c:v>0.00033488672447668</c:v>
                </c:pt>
                <c:pt idx="10">
                  <c:v>0.000232885182627096</c:v>
                </c:pt>
                <c:pt idx="11">
                  <c:v>8.41126384758528E-005</c:v>
                </c:pt>
                <c:pt idx="12">
                  <c:v>3.69594768006021E-005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'Grid Size'!L1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Size'!$L$2:$L$14</c:f>
              <c:numCache>
                <c:formatCode>General</c:formatCode>
                <c:ptCount val="13"/>
                <c:pt idx="0">
                  <c:v>0.0491213020107502</c:v>
                </c:pt>
                <c:pt idx="1">
                  <c:v>0.0231665641847573</c:v>
                </c:pt>
                <c:pt idx="2">
                  <c:v>0.00875976101011038</c:v>
                </c:pt>
                <c:pt idx="3">
                  <c:v>0.00399062891443578</c:v>
                </c:pt>
                <c:pt idx="4">
                  <c:v>0.00227253837078201</c:v>
                </c:pt>
                <c:pt idx="5">
                  <c:v>0.00146517806495009</c:v>
                </c:pt>
                <c:pt idx="6">
                  <c:v>0.00102248557900894</c:v>
                </c:pt>
                <c:pt idx="7">
                  <c:v>0.00075384430743229</c:v>
                </c:pt>
                <c:pt idx="8">
                  <c:v>0.000578683034236243</c:v>
                </c:pt>
                <c:pt idx="9">
                  <c:v>0.000371721964092241</c:v>
                </c:pt>
                <c:pt idx="10">
                  <c:v>0.000258771180419946</c:v>
                </c:pt>
                <c:pt idx="11">
                  <c:v>9.36544373671642E-005</c:v>
                </c:pt>
                <c:pt idx="12">
                  <c:v>4.12104101745613E-005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'Grid Size'!M1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Size'!$M$2:$M$14</c:f>
              <c:numCache>
                <c:formatCode>General</c:formatCode>
                <c:ptCount val="13"/>
                <c:pt idx="0">
                  <c:v>0.118929805845411</c:v>
                </c:pt>
                <c:pt idx="1">
                  <c:v>0.0543050510310546</c:v>
                </c:pt>
                <c:pt idx="2">
                  <c:v>0.0199987785200006</c:v>
                </c:pt>
                <c:pt idx="3">
                  <c:v>0.00899925911197932</c:v>
                </c:pt>
                <c:pt idx="4">
                  <c:v>0.00509504666504659</c:v>
                </c:pt>
                <c:pt idx="5">
                  <c:v>0.00327386537448002</c:v>
                </c:pt>
                <c:pt idx="6">
                  <c:v>0.00227966377026132</c:v>
                </c:pt>
                <c:pt idx="7">
                  <c:v>0.00167810395688511</c:v>
                </c:pt>
                <c:pt idx="8">
                  <c:v>0.00128669393232622</c:v>
                </c:pt>
                <c:pt idx="9">
                  <c:v>0.000825187352036081</c:v>
                </c:pt>
                <c:pt idx="10">
                  <c:v>0.000573831202775889</c:v>
                </c:pt>
                <c:pt idx="11">
                  <c:v>0.000207235505571827</c:v>
                </c:pt>
                <c:pt idx="12">
                  <c:v>9.10878287272447E-005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'Grid Size'!N1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Size'!$N$2:$N$14</c:f>
              <c:numCache>
                <c:formatCode>General</c:formatCode>
                <c:ptCount val="13"/>
                <c:pt idx="0">
                  <c:v>0.558468241619979</c:v>
                </c:pt>
                <c:pt idx="1">
                  <c:v>0.265185571930728</c:v>
                </c:pt>
                <c:pt idx="2">
                  <c:v>0.100620996459747</c:v>
                </c:pt>
                <c:pt idx="3">
                  <c:v>0.0459055520561193</c:v>
                </c:pt>
                <c:pt idx="4">
                  <c:v>0.0261607958380315</c:v>
                </c:pt>
                <c:pt idx="5">
                  <c:v>0.0168741981165894</c:v>
                </c:pt>
                <c:pt idx="6">
                  <c:v>0.0117793108303833</c:v>
                </c:pt>
                <c:pt idx="7">
                  <c:v>0.00868635368283605</c:v>
                </c:pt>
                <c:pt idx="8">
                  <c:v>0.00666909501029761</c:v>
                </c:pt>
                <c:pt idx="9">
                  <c:v>0.00428491822481845</c:v>
                </c:pt>
                <c:pt idx="10">
                  <c:v>0.00298333993455478</c:v>
                </c:pt>
                <c:pt idx="11">
                  <c:v>0.00108010352323379</c:v>
                </c:pt>
                <c:pt idx="12">
                  <c:v>0.000474996534999932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'Grid Size'!O1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Size'!$O$2:$O$14</c:f>
              <c:numCache>
                <c:formatCode>General</c:formatCode>
                <c:ptCount val="13"/>
                <c:pt idx="0">
                  <c:v>0.245065253054355</c:v>
                </c:pt>
                <c:pt idx="1">
                  <c:v>0.114905372004641</c:v>
                </c:pt>
                <c:pt idx="2">
                  <c:v>0.043150744927371</c:v>
                </c:pt>
                <c:pt idx="3">
                  <c:v>0.019583398517836</c:v>
                </c:pt>
                <c:pt idx="4">
                  <c:v>0.0111308325354004</c:v>
                </c:pt>
                <c:pt idx="5">
                  <c:v>0.00716819312731188</c:v>
                </c:pt>
                <c:pt idx="6">
                  <c:v>0.00499856489442431</c:v>
                </c:pt>
                <c:pt idx="7">
                  <c:v>0.00368326699529812</c:v>
                </c:pt>
                <c:pt idx="8">
                  <c:v>0.00282627727829386</c:v>
                </c:pt>
                <c:pt idx="9">
                  <c:v>0.00181444273874566</c:v>
                </c:pt>
                <c:pt idx="10">
                  <c:v>0.00126262427784372</c:v>
                </c:pt>
                <c:pt idx="11">
                  <c:v>0.000456622466248441</c:v>
                </c:pt>
                <c:pt idx="12">
                  <c:v>0.000200814507095387</c:v>
                </c:pt>
              </c:numCache>
            </c:numRef>
          </c:yVal>
          <c:smooth val="0"/>
        </c:ser>
        <c:axId val="54608896"/>
        <c:axId val="11131093"/>
      </c:scatterChart>
      <c:valAx>
        <c:axId val="5460889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N_int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131093"/>
        <c:crosses val="autoZero"/>
        <c:crossBetween val="midCat"/>
      </c:valAx>
      <c:valAx>
        <c:axId val="1113109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60889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Length Scale: Relative Errors &amp; Residuals vs Inverse Length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'Length Scale'!K1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Scale'!$K$2:$K$16</c:f>
              <c:numCache>
                <c:formatCode>General</c:formatCode>
                <c:ptCount val="15"/>
                <c:pt idx="0">
                  <c:v>397.704670241428</c:v>
                </c:pt>
                <c:pt idx="1">
                  <c:v>101.069088150992</c:v>
                </c:pt>
                <c:pt idx="2">
                  <c:v>4.43807606331781E-006</c:v>
                </c:pt>
                <c:pt idx="3">
                  <c:v>3.19220370315065E-006</c:v>
                </c:pt>
                <c:pt idx="4">
                  <c:v>2.67591226763564E-005</c:v>
                </c:pt>
                <c:pt idx="5">
                  <c:v>5.85096837886212E-005</c:v>
                </c:pt>
                <c:pt idx="6">
                  <c:v>0.000113639822452938</c:v>
                </c:pt>
                <c:pt idx="7">
                  <c:v>0.000201879646270608</c:v>
                </c:pt>
                <c:pt idx="8">
                  <c:v>0.00033488672447668</c:v>
                </c:pt>
                <c:pt idx="9">
                  <c:v>0.000790485040457089</c:v>
                </c:pt>
                <c:pt idx="10">
                  <c:v>0.00387799681100487</c:v>
                </c:pt>
                <c:pt idx="11">
                  <c:v>0.0122276488753716</c:v>
                </c:pt>
                <c:pt idx="12">
                  <c:v>0.0654831026002749</c:v>
                </c:pt>
                <c:pt idx="13">
                  <c:v>0.253002856302487</c:v>
                </c:pt>
                <c:pt idx="14">
                  <c:v>10.8306071190981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'Length Scale'!L1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Scale'!$L$2:$L$16</c:f>
              <c:numCache>
                <c:formatCode>General</c:formatCode>
                <c:ptCount val="15"/>
                <c:pt idx="0">
                  <c:v>513.544730126481</c:v>
                </c:pt>
                <c:pt idx="1">
                  <c:v>129.038682243453</c:v>
                </c:pt>
                <c:pt idx="2">
                  <c:v>7.17127638294835E-006</c:v>
                </c:pt>
                <c:pt idx="3">
                  <c:v>4.81043794109651E-006</c:v>
                </c:pt>
                <c:pt idx="4">
                  <c:v>3.34692855725054E-005</c:v>
                </c:pt>
                <c:pt idx="5">
                  <c:v>6.9625094229864E-005</c:v>
                </c:pt>
                <c:pt idx="6">
                  <c:v>0.000130894724930574</c:v>
                </c:pt>
                <c:pt idx="7">
                  <c:v>0.000227511940743362</c:v>
                </c:pt>
                <c:pt idx="8">
                  <c:v>0.000371721964092241</c:v>
                </c:pt>
                <c:pt idx="9">
                  <c:v>0.00086097961437967</c:v>
                </c:pt>
                <c:pt idx="10">
                  <c:v>0.00414041339308611</c:v>
                </c:pt>
                <c:pt idx="11">
                  <c:v>0.0129586934973067</c:v>
                </c:pt>
                <c:pt idx="12">
                  <c:v>0.0689801489626659</c:v>
                </c:pt>
                <c:pt idx="13">
                  <c:v>0.265626163181185</c:v>
                </c:pt>
                <c:pt idx="14">
                  <c:v>9.93459140067598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'Length Scale'!M1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Scale'!$M$2:$M$16</c:f>
              <c:numCache>
                <c:formatCode>General</c:formatCode>
                <c:ptCount val="15"/>
                <c:pt idx="0">
                  <c:v>16172.3619670133</c:v>
                </c:pt>
                <c:pt idx="1">
                  <c:v>4071.26136528761</c:v>
                </c:pt>
                <c:pt idx="2">
                  <c:v>1.56854279800061E-005</c:v>
                </c:pt>
                <c:pt idx="3">
                  <c:v>1.05349548531309E-005</c:v>
                </c:pt>
                <c:pt idx="4">
                  <c:v>7.37565698366225E-005</c:v>
                </c:pt>
                <c:pt idx="5">
                  <c:v>0.000153836183554676</c:v>
                </c:pt>
                <c:pt idx="6">
                  <c:v>0.000289795616175331</c:v>
                </c:pt>
                <c:pt idx="7">
                  <c:v>0.000504470220517791</c:v>
                </c:pt>
                <c:pt idx="8">
                  <c:v>0.000825187352036081</c:v>
                </c:pt>
                <c:pt idx="9">
                  <c:v>0.00191435739096792</c:v>
                </c:pt>
                <c:pt idx="10">
                  <c:v>0.00922480181755157</c:v>
                </c:pt>
                <c:pt idx="11">
                  <c:v>0.0288956139482763</c:v>
                </c:pt>
                <c:pt idx="12">
                  <c:v>0.153624811897889</c:v>
                </c:pt>
                <c:pt idx="13">
                  <c:v>0.587165335167811</c:v>
                </c:pt>
                <c:pt idx="14">
                  <c:v>23.6031947351869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'Length Scale'!N1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Scale'!$N$2:$N$16</c:f>
              <c:numCache>
                <c:formatCode>General</c:formatCode>
                <c:ptCount val="15"/>
                <c:pt idx="0">
                  <c:v>1.00496027051299</c:v>
                </c:pt>
                <c:pt idx="1">
                  <c:v>1.0198410825453</c:v>
                </c:pt>
                <c:pt idx="2">
                  <c:v>4.14202898522245E-005</c:v>
                </c:pt>
                <c:pt idx="3">
                  <c:v>3.20684597966213E-005</c:v>
                </c:pt>
                <c:pt idx="4">
                  <c:v>0.000315136192231357</c:v>
                </c:pt>
                <c:pt idx="5">
                  <c:v>0.000714117849846548</c:v>
                </c:pt>
                <c:pt idx="6">
                  <c:v>0.00141845038544434</c:v>
                </c:pt>
                <c:pt idx="7">
                  <c:v>0.00255725776419437</c:v>
                </c:pt>
                <c:pt idx="8">
                  <c:v>0.00428491822481845</c:v>
                </c:pt>
                <c:pt idx="9">
                  <c:v>0.0102375550525884</c:v>
                </c:pt>
                <c:pt idx="10">
                  <c:v>0.0507053125170371</c:v>
                </c:pt>
                <c:pt idx="11">
                  <c:v>0.158993000598737</c:v>
                </c:pt>
                <c:pt idx="12">
                  <c:v>0.800056489150253</c:v>
                </c:pt>
                <c:pt idx="13">
                  <c:v>2.52194766560504</c:v>
                </c:pt>
                <c:pt idx="14">
                  <c:v>12.7250662715788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'Length Scale'!O1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Scale'!$O$2:$O$16</c:f>
              <c:numCache>
                <c:formatCode>General</c:formatCode>
                <c:ptCount val="15"/>
                <c:pt idx="0">
                  <c:v>0.999596097950772</c:v>
                </c:pt>
                <c:pt idx="1">
                  <c:v>1.00458412009743</c:v>
                </c:pt>
                <c:pt idx="2">
                  <c:v>3.19272587310654E-005</c:v>
                </c:pt>
                <c:pt idx="3">
                  <c:v>2.16300079201386E-005</c:v>
                </c:pt>
                <c:pt idx="4">
                  <c:v>0.000156793206388757</c:v>
                </c:pt>
                <c:pt idx="5">
                  <c:v>0.000331278611281514</c:v>
                </c:pt>
                <c:pt idx="6">
                  <c:v>0.000629934756481503</c:v>
                </c:pt>
                <c:pt idx="7">
                  <c:v>0.00110393965848596</c:v>
                </c:pt>
                <c:pt idx="8">
                  <c:v>0.00181444273874566</c:v>
                </c:pt>
                <c:pt idx="9">
                  <c:v>0.00423417729628213</c:v>
                </c:pt>
                <c:pt idx="10">
                  <c:v>0.0204699637225015</c:v>
                </c:pt>
                <c:pt idx="11">
                  <c:v>0.0636310501532619</c:v>
                </c:pt>
                <c:pt idx="12">
                  <c:v>0.318190946010565</c:v>
                </c:pt>
                <c:pt idx="13">
                  <c:v>1.00079280932004</c:v>
                </c:pt>
                <c:pt idx="14">
                  <c:v>5.04175025760733</c:v>
                </c:pt>
              </c:numCache>
            </c:numRef>
          </c:yVal>
          <c:smooth val="0"/>
        </c:ser>
        <c:axId val="58369012"/>
        <c:axId val="69392647"/>
      </c:scatterChart>
      <c:valAx>
        <c:axId val="5836901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Inverse Length Scale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392647"/>
        <c:crosses val="autoZero"/>
        <c:crossBetween val="midCat"/>
      </c:valAx>
      <c:valAx>
        <c:axId val="6939264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36901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Stencil Nodes: Relative Errors &amp; Residuals vs num_stencil_nodes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Nodes'!$K$2:$K$9</c:f>
              <c:numCache>
                <c:formatCode>General</c:formatCode>
                <c:ptCount val="8"/>
                <c:pt idx="0">
                  <c:v>0.00033488672447668</c:v>
                </c:pt>
                <c:pt idx="1">
                  <c:v>0.000334833355627118</c:v>
                </c:pt>
                <c:pt idx="2">
                  <c:v>0.00463211227714855</c:v>
                </c:pt>
                <c:pt idx="3">
                  <c:v>0.0111369730694656</c:v>
                </c:pt>
                <c:pt idx="4">
                  <c:v>0.00224483403657583</c:v>
                </c:pt>
                <c:pt idx="5">
                  <c:v>0.0021552459962727</c:v>
                </c:pt>
                <c:pt idx="6">
                  <c:v>0.000243410022191248</c:v>
                </c:pt>
                <c:pt idx="7">
                  <c:v>1.47124516904629E-005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'Stencil Nodes'!L1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Nodes'!$L$2:$L$9</c:f>
              <c:numCache>
                <c:formatCode>General</c:formatCode>
                <c:ptCount val="8"/>
                <c:pt idx="0">
                  <c:v>0.000371721964092241</c:v>
                </c:pt>
                <c:pt idx="1">
                  <c:v>0.000371664597037559</c:v>
                </c:pt>
                <c:pt idx="2">
                  <c:v>0.00495629289851896</c:v>
                </c:pt>
                <c:pt idx="3">
                  <c:v>0.00569837769714042</c:v>
                </c:pt>
                <c:pt idx="4">
                  <c:v>0.00205694551179429</c:v>
                </c:pt>
                <c:pt idx="5">
                  <c:v>0.00215307140957861</c:v>
                </c:pt>
                <c:pt idx="6">
                  <c:v>0.000103428374680516</c:v>
                </c:pt>
                <c:pt idx="7">
                  <c:v>9.99844201690431E-006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'Stencil Nodes'!M1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Nodes'!$M$2:$M$9</c:f>
              <c:numCache>
                <c:formatCode>General</c:formatCode>
                <c:ptCount val="8"/>
                <c:pt idx="0">
                  <c:v>0.000825187352036081</c:v>
                </c:pt>
                <c:pt idx="1">
                  <c:v>0.000825130140514826</c:v>
                </c:pt>
                <c:pt idx="2">
                  <c:v>0.100833751004313</c:v>
                </c:pt>
                <c:pt idx="3">
                  <c:v>0.0210764132864983</c:v>
                </c:pt>
                <c:pt idx="4">
                  <c:v>0.00532242513112366</c:v>
                </c:pt>
                <c:pt idx="5">
                  <c:v>0.00553706408348603</c:v>
                </c:pt>
                <c:pt idx="6">
                  <c:v>0.00033688968327229</c:v>
                </c:pt>
                <c:pt idx="7">
                  <c:v>3.59244388910733E-005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'Stencil Nodes'!N1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Nodes'!$N$2:$N$9</c:f>
              <c:numCache>
                <c:formatCode>General</c:formatCode>
                <c:ptCount val="8"/>
                <c:pt idx="0">
                  <c:v>0.00428491822481845</c:v>
                </c:pt>
                <c:pt idx="1">
                  <c:v>0.00428421745984637</c:v>
                </c:pt>
                <c:pt idx="2">
                  <c:v>0.00999472071687664</c:v>
                </c:pt>
                <c:pt idx="3">
                  <c:v>0.0214680717315145</c:v>
                </c:pt>
                <c:pt idx="4">
                  <c:v>0.0243855781977306</c:v>
                </c:pt>
                <c:pt idx="5">
                  <c:v>0.0244981443842582</c:v>
                </c:pt>
                <c:pt idx="6">
                  <c:v>0.000537940857608305</c:v>
                </c:pt>
                <c:pt idx="7">
                  <c:v>0.000886336542307373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'Stencil Nodes'!O1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Nodes'!$O$2:$O$9</c:f>
              <c:numCache>
                <c:formatCode>General</c:formatCode>
                <c:ptCount val="8"/>
                <c:pt idx="0">
                  <c:v>0.00181444273874566</c:v>
                </c:pt>
                <c:pt idx="1">
                  <c:v>0.00181416045073409</c:v>
                </c:pt>
                <c:pt idx="2">
                  <c:v>0.00423229171633132</c:v>
                </c:pt>
                <c:pt idx="3">
                  <c:v>0.0086494367816674</c:v>
                </c:pt>
                <c:pt idx="4">
                  <c:v>0.0102217983963922</c:v>
                </c:pt>
                <c:pt idx="5">
                  <c:v>0.0103228877353846</c:v>
                </c:pt>
                <c:pt idx="6">
                  <c:v>5.64974090907596E-005</c:v>
                </c:pt>
                <c:pt idx="7">
                  <c:v>5.79327563928336E-005</c:v>
                </c:pt>
              </c:numCache>
            </c:numRef>
          </c:yVal>
          <c:smooth val="0"/>
        </c:ser>
        <c:axId val="90317894"/>
        <c:axId val="65746663"/>
      </c:scatterChart>
      <c:valAx>
        <c:axId val="9031789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num_stencil_nodes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746663"/>
        <c:crosses val="autoZero"/>
        <c:crossBetween val="midCat"/>
      </c:valAx>
      <c:valAx>
        <c:axId val="6574666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31789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Center Rings: Relative Errors &amp; Residuals vs num_rings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Rings'!$K$2:$K$11</c:f>
              <c:numCache>
                <c:formatCode>General</c:formatCode>
                <c:ptCount val="10"/>
                <c:pt idx="0">
                  <c:v>0.00033488672447668</c:v>
                </c:pt>
                <c:pt idx="1">
                  <c:v>0.000334880101040547</c:v>
                </c:pt>
                <c:pt idx="2">
                  <c:v>0.000334880525588055</c:v>
                </c:pt>
                <c:pt idx="3">
                  <c:v>0.000334882937035763</c:v>
                </c:pt>
                <c:pt idx="4">
                  <c:v>0.000334879720274239</c:v>
                </c:pt>
                <c:pt idx="5">
                  <c:v>0.00033487770278684</c:v>
                </c:pt>
                <c:pt idx="6">
                  <c:v>0.000334889608308297</c:v>
                </c:pt>
                <c:pt idx="7">
                  <c:v>0.000334880921341263</c:v>
                </c:pt>
                <c:pt idx="8">
                  <c:v>0.000334881841337564</c:v>
                </c:pt>
                <c:pt idx="9">
                  <c:v>0.000334882586029095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'Center Rings'!L1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Rings'!$L$2:$L$11</c:f>
              <c:numCache>
                <c:formatCode>General</c:formatCode>
                <c:ptCount val="10"/>
                <c:pt idx="0">
                  <c:v>0.000371721964092241</c:v>
                </c:pt>
                <c:pt idx="1">
                  <c:v>0.00037171468802264</c:v>
                </c:pt>
                <c:pt idx="2">
                  <c:v>0.000371715067842753</c:v>
                </c:pt>
                <c:pt idx="3">
                  <c:v>0.000371717751230641</c:v>
                </c:pt>
                <c:pt idx="4">
                  <c:v>0.000371714303420756</c:v>
                </c:pt>
                <c:pt idx="5">
                  <c:v>0.000371712099728669</c:v>
                </c:pt>
                <c:pt idx="6">
                  <c:v>0.000371725003161565</c:v>
                </c:pt>
                <c:pt idx="7">
                  <c:v>0.000371715503863416</c:v>
                </c:pt>
                <c:pt idx="8">
                  <c:v>0.000371716479373149</c:v>
                </c:pt>
                <c:pt idx="9">
                  <c:v>0.000371717655837521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'Center Rings'!M1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Rings'!$M$2:$M$11</c:f>
              <c:numCache>
                <c:formatCode>General</c:formatCode>
                <c:ptCount val="10"/>
                <c:pt idx="0">
                  <c:v>0.000825187352036081</c:v>
                </c:pt>
                <c:pt idx="1">
                  <c:v>0.000825170755834237</c:v>
                </c:pt>
                <c:pt idx="2">
                  <c:v>0.000825171429691747</c:v>
                </c:pt>
                <c:pt idx="3">
                  <c:v>0.000825177216439927</c:v>
                </c:pt>
                <c:pt idx="4">
                  <c:v>0.000825169481529605</c:v>
                </c:pt>
                <c:pt idx="5">
                  <c:v>0.000825164554589593</c:v>
                </c:pt>
                <c:pt idx="6">
                  <c:v>0.00082519319195825</c:v>
                </c:pt>
                <c:pt idx="7">
                  <c:v>0.000825171966824375</c:v>
                </c:pt>
                <c:pt idx="8">
                  <c:v>0.000825174064949007</c:v>
                </c:pt>
                <c:pt idx="9">
                  <c:v>0.000825176643256441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'Center Rings'!N1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Rings'!$N$2:$N$11</c:f>
              <c:numCache>
                <c:formatCode>General</c:formatCode>
                <c:ptCount val="10"/>
                <c:pt idx="0">
                  <c:v>0.00428491822481845</c:v>
                </c:pt>
                <c:pt idx="1">
                  <c:v>0.0042848333074231</c:v>
                </c:pt>
                <c:pt idx="2">
                  <c:v>0.00428483597582695</c:v>
                </c:pt>
                <c:pt idx="3">
                  <c:v>0.00428486675819927</c:v>
                </c:pt>
                <c:pt idx="4">
                  <c:v>0.00428482804208847</c:v>
                </c:pt>
                <c:pt idx="5">
                  <c:v>0.00428480198409422</c:v>
                </c:pt>
                <c:pt idx="6">
                  <c:v>0.00428495480753355</c:v>
                </c:pt>
                <c:pt idx="7">
                  <c:v>0.00428483863216363</c:v>
                </c:pt>
                <c:pt idx="8">
                  <c:v>0.00428485177785729</c:v>
                </c:pt>
                <c:pt idx="9">
                  <c:v>0.00428486586042391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'Center Rings'!O1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Rings'!$O$2:$O$11</c:f>
              <c:numCache>
                <c:formatCode>General</c:formatCode>
                <c:ptCount val="10"/>
                <c:pt idx="0">
                  <c:v>0.00181444273874566</c:v>
                </c:pt>
                <c:pt idx="1">
                  <c:v>0.00181440733417847</c:v>
                </c:pt>
                <c:pt idx="2">
                  <c:v>0.0018144087473928</c:v>
                </c:pt>
                <c:pt idx="3">
                  <c:v>0.00181442219776171</c:v>
                </c:pt>
                <c:pt idx="4">
                  <c:v>0.00181440520310896</c:v>
                </c:pt>
                <c:pt idx="5">
                  <c:v>0.00181439416836532</c:v>
                </c:pt>
                <c:pt idx="6">
                  <c:v>0.00181445786860741</c:v>
                </c:pt>
                <c:pt idx="7">
                  <c:v>0.00181441104485167</c:v>
                </c:pt>
                <c:pt idx="8">
                  <c:v>0.00181441576752293</c:v>
                </c:pt>
                <c:pt idx="9">
                  <c:v>0.00181442155621624</c:v>
                </c:pt>
              </c:numCache>
            </c:numRef>
          </c:yVal>
          <c:smooth val="0"/>
        </c:ser>
        <c:axId val="56836312"/>
        <c:axId val="7913792"/>
      </c:scatterChart>
      <c:valAx>
        <c:axId val="5683631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num_rings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13792"/>
        <c:crosses val="autoZero"/>
        <c:crossBetween val="midCat"/>
      </c:valAx>
      <c:valAx>
        <c:axId val="791379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83631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Eigenvalue Ratio: Relative Errors &amp; Residuals vs eig_2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0.000247805287619862</c:v>
                </c:pt>
                <c:pt idx="1">
                  <c:v>0.000235354124779152</c:v>
                </c:pt>
                <c:pt idx="2">
                  <c:v>0.000225811086862371</c:v>
                </c:pt>
                <c:pt idx="3">
                  <c:v>0.000227170779850183</c:v>
                </c:pt>
                <c:pt idx="4">
                  <c:v>0.000247807588060034</c:v>
                </c:pt>
                <c:pt idx="5">
                  <c:v>0.000263727471143171</c:v>
                </c:pt>
                <c:pt idx="6">
                  <c:v>0.00030054801517343</c:v>
                </c:pt>
                <c:pt idx="7">
                  <c:v>0.000313395460196375</c:v>
                </c:pt>
                <c:pt idx="8">
                  <c:v>0.00033488672447668</c:v>
                </c:pt>
                <c:pt idx="9">
                  <c:v>0.000340958975737049</c:v>
                </c:pt>
                <c:pt idx="10">
                  <c:v>0.000350151539582844</c:v>
                </c:pt>
                <c:pt idx="11">
                  <c:v>0.000352492681928718</c:v>
                </c:pt>
                <c:pt idx="12">
                  <c:v>0.000355892274045533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'Eigenvalue Ratio'!L1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0.000325854433701219</c:v>
                </c:pt>
                <c:pt idx="1">
                  <c:v>0.000318156686143187</c:v>
                </c:pt>
                <c:pt idx="2">
                  <c:v>0.00031079953900526</c:v>
                </c:pt>
                <c:pt idx="3">
                  <c:v>0.00031211708982484</c:v>
                </c:pt>
                <c:pt idx="4">
                  <c:v>0.000325857393565865</c:v>
                </c:pt>
                <c:pt idx="5">
                  <c:v>0.000335156892222532</c:v>
                </c:pt>
                <c:pt idx="6">
                  <c:v>0.000355424016617568</c:v>
                </c:pt>
                <c:pt idx="7">
                  <c:v>0.000361909090753637</c:v>
                </c:pt>
                <c:pt idx="8">
                  <c:v>0.000371721964092241</c:v>
                </c:pt>
                <c:pt idx="9">
                  <c:v>0.00037423875707313</c:v>
                </c:pt>
                <c:pt idx="10">
                  <c:v>0.000377645151281041</c:v>
                </c:pt>
                <c:pt idx="11">
                  <c:v>0.000378412332847875</c:v>
                </c:pt>
                <c:pt idx="12">
                  <c:v>0.000379268700716307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'Eigenvalue Ratio'!M1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Ratio'!$M$2:$M$14</c:f>
              <c:numCache>
                <c:formatCode>General</c:formatCode>
                <c:ptCount val="13"/>
                <c:pt idx="0">
                  <c:v>0.00075077528442707</c:v>
                </c:pt>
                <c:pt idx="1">
                  <c:v>0.000734812298796313</c:v>
                </c:pt>
                <c:pt idx="2">
                  <c:v>0.000716570769067252</c:v>
                </c:pt>
                <c:pt idx="3">
                  <c:v>0.000720173767976691</c:v>
                </c:pt>
                <c:pt idx="4">
                  <c:v>0.000750782911982367</c:v>
                </c:pt>
                <c:pt idx="5">
                  <c:v>0.000767867029423632</c:v>
                </c:pt>
                <c:pt idx="6">
                  <c:v>0.000800925419888011</c:v>
                </c:pt>
                <c:pt idx="7">
                  <c:v>0.000810786221405007</c:v>
                </c:pt>
                <c:pt idx="8">
                  <c:v>0.000825187352036081</c:v>
                </c:pt>
                <c:pt idx="9">
                  <c:v>0.00082875447576749</c:v>
                </c:pt>
                <c:pt idx="10">
                  <c:v>0.000833430239002687</c:v>
                </c:pt>
                <c:pt idx="11">
                  <c:v>0.000834450572573543</c:v>
                </c:pt>
                <c:pt idx="12">
                  <c:v>0.00083558238431717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'Eigenvalue Ratio'!N1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Ratio'!$N$2:$N$14</c:f>
              <c:numCache>
                <c:formatCode>General</c:formatCode>
                <c:ptCount val="13"/>
                <c:pt idx="0">
                  <c:v>0.00428487562616779</c:v>
                </c:pt>
                <c:pt idx="1">
                  <c:v>0.00428487916360609</c:v>
                </c:pt>
                <c:pt idx="2">
                  <c:v>0.0042848948178289</c:v>
                </c:pt>
                <c:pt idx="3">
                  <c:v>0.00428490262614408</c:v>
                </c:pt>
                <c:pt idx="4">
                  <c:v>0.0042849139914654</c:v>
                </c:pt>
                <c:pt idx="5">
                  <c:v>0.00428491602975724</c:v>
                </c:pt>
                <c:pt idx="6">
                  <c:v>0.00428491780483922</c:v>
                </c:pt>
                <c:pt idx="7">
                  <c:v>0.00428491805190283</c:v>
                </c:pt>
                <c:pt idx="8">
                  <c:v>0.00428491822481845</c:v>
                </c:pt>
                <c:pt idx="9">
                  <c:v>0.00428491824220768</c:v>
                </c:pt>
                <c:pt idx="10">
                  <c:v>0.00428491820451617</c:v>
                </c:pt>
                <c:pt idx="11">
                  <c:v>0.0042849182778999</c:v>
                </c:pt>
                <c:pt idx="12">
                  <c:v>0.00428491827704845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'Eigenvalue Ratio'!O1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Ratio'!$O$2:$O$14</c:f>
              <c:numCache>
                <c:formatCode>General</c:formatCode>
                <c:ptCount val="13"/>
                <c:pt idx="0">
                  <c:v>0.00181814669937078</c:v>
                </c:pt>
                <c:pt idx="1">
                  <c:v>0.00181807462633037</c:v>
                </c:pt>
                <c:pt idx="2">
                  <c:v>0.00181724370858357</c:v>
                </c:pt>
                <c:pt idx="3">
                  <c:v>0.00181651508369296</c:v>
                </c:pt>
                <c:pt idx="4">
                  <c:v>0.00181508448819708</c:v>
                </c:pt>
                <c:pt idx="5">
                  <c:v>0.00181478298236891</c:v>
                </c:pt>
                <c:pt idx="6">
                  <c:v>0.00181450896073113</c:v>
                </c:pt>
                <c:pt idx="7">
                  <c:v>0.00181447239133115</c:v>
                </c:pt>
                <c:pt idx="8">
                  <c:v>0.00181444273874566</c:v>
                </c:pt>
                <c:pt idx="9">
                  <c:v>0.00181443900356612</c:v>
                </c:pt>
                <c:pt idx="10">
                  <c:v>0.00181443600708733</c:v>
                </c:pt>
                <c:pt idx="11">
                  <c:v>0.00181443564679543</c:v>
                </c:pt>
                <c:pt idx="12">
                  <c:v>0.00181443534542003</c:v>
                </c:pt>
              </c:numCache>
            </c:numRef>
          </c:yVal>
          <c:smooth val="0"/>
        </c:ser>
        <c:axId val="84262274"/>
        <c:axId val="79893969"/>
      </c:scatterChart>
      <c:valAx>
        <c:axId val="8426227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eig_2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93969"/>
        <c:crosses val="autoZero"/>
        <c:crossBetween val="midCat"/>
      </c:valAx>
      <c:valAx>
        <c:axId val="7989396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26227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Eigenvector Angle: Relative Errors &amp; Residuals vs angle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0.000334882907283118</c:v>
                </c:pt>
                <c:pt idx="1">
                  <c:v>0.000229636308593906</c:v>
                </c:pt>
                <c:pt idx="2">
                  <c:v>0.000225811094447581</c:v>
                </c:pt>
                <c:pt idx="3">
                  <c:v>0.000229637603959443</c:v>
                </c:pt>
                <c:pt idx="4">
                  <c:v>0.00033488672447668</c:v>
                </c:pt>
                <c:pt idx="5">
                  <c:v>0.000229637591492193</c:v>
                </c:pt>
                <c:pt idx="6">
                  <c:v>0.000225811080391436</c:v>
                </c:pt>
                <c:pt idx="7">
                  <c:v>0.000229636296090407</c:v>
                </c:pt>
                <c:pt idx="8">
                  <c:v>0.000334882907283118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'Eigenvector Angle'!L1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0.000371717811054269</c:v>
                </c:pt>
                <c:pt idx="1">
                  <c:v>0.000314147197962817</c:v>
                </c:pt>
                <c:pt idx="2">
                  <c:v>0.000310799549506606</c:v>
                </c:pt>
                <c:pt idx="3">
                  <c:v>0.000314148931759266</c:v>
                </c:pt>
                <c:pt idx="4">
                  <c:v>0.000371721964092241</c:v>
                </c:pt>
                <c:pt idx="5">
                  <c:v>0.000314148914617143</c:v>
                </c:pt>
                <c:pt idx="6">
                  <c:v>0.000310799530104205</c:v>
                </c:pt>
                <c:pt idx="7">
                  <c:v>0.000314147180885629</c:v>
                </c:pt>
                <c:pt idx="8">
                  <c:v>0.000371717811054269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'Eigenvector Angle'!M1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Angle'!$M$2:$M$10</c:f>
              <c:numCache>
                <c:formatCode>General</c:formatCode>
                <c:ptCount val="9"/>
                <c:pt idx="0">
                  <c:v>0.000825176897621825</c:v>
                </c:pt>
                <c:pt idx="1">
                  <c:v>0.000568728805048661</c:v>
                </c:pt>
                <c:pt idx="2">
                  <c:v>0.000546001136024387</c:v>
                </c:pt>
                <c:pt idx="3">
                  <c:v>0.000568732172599473</c:v>
                </c:pt>
                <c:pt idx="4">
                  <c:v>0.000825187352036081</c:v>
                </c:pt>
                <c:pt idx="5">
                  <c:v>0.00121525595457002</c:v>
                </c:pt>
                <c:pt idx="6">
                  <c:v>0.00141860182540787</c:v>
                </c:pt>
                <c:pt idx="7">
                  <c:v>0.00121524692412604</c:v>
                </c:pt>
                <c:pt idx="8">
                  <c:v>0.000825176897621825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'Eigenvector Angle'!N1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Angle'!$N$2:$N$10</c:f>
              <c:numCache>
                <c:formatCode>General</c:formatCode>
                <c:ptCount val="9"/>
                <c:pt idx="0">
                  <c:v>0.00428487143858899</c:v>
                </c:pt>
                <c:pt idx="1">
                  <c:v>0.00428488327201456</c:v>
                </c:pt>
                <c:pt idx="2">
                  <c:v>0.00428489496370069</c:v>
                </c:pt>
                <c:pt idx="3">
                  <c:v>0.00428490661722621</c:v>
                </c:pt>
                <c:pt idx="4">
                  <c:v>0.00428491822481845</c:v>
                </c:pt>
                <c:pt idx="5">
                  <c:v>0.00428490638099382</c:v>
                </c:pt>
                <c:pt idx="6">
                  <c:v>0.00428489465841576</c:v>
                </c:pt>
                <c:pt idx="7">
                  <c:v>0.00428488303941651</c:v>
                </c:pt>
                <c:pt idx="8">
                  <c:v>0.00428487143858899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'Eigenvector Angle'!O1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Angle'!$O$2:$O$10</c:f>
              <c:numCache>
                <c:formatCode>General</c:formatCode>
                <c:ptCount val="9"/>
                <c:pt idx="0">
                  <c:v>0.00181442263929431</c:v>
                </c:pt>
                <c:pt idx="1">
                  <c:v>0.00181442770947026</c:v>
                </c:pt>
                <c:pt idx="2">
                  <c:v>0.00181443274512271</c:v>
                </c:pt>
                <c:pt idx="3">
                  <c:v>0.00181443776585896</c:v>
                </c:pt>
                <c:pt idx="4">
                  <c:v>0.00181444273874566</c:v>
                </c:pt>
                <c:pt idx="5">
                  <c:v>0.00181443766244772</c:v>
                </c:pt>
                <c:pt idx="6">
                  <c:v>0.00181443262694356</c:v>
                </c:pt>
                <c:pt idx="7">
                  <c:v>0.00181442760691177</c:v>
                </c:pt>
                <c:pt idx="8">
                  <c:v>0.00181442263929431</c:v>
                </c:pt>
              </c:numCache>
            </c:numRef>
          </c:yVal>
          <c:smooth val="0"/>
        </c:ser>
        <c:axId val="79927496"/>
        <c:axId val="28022528"/>
      </c:scatterChart>
      <c:valAx>
        <c:axId val="7992749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angle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022528"/>
        <c:crosses val="autoZero"/>
        <c:crossBetween val="midCat"/>
      </c:valAx>
      <c:valAx>
        <c:axId val="2802252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92749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2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3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4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5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20</v>
      </c>
      <c r="B2" s="0" t="n">
        <v>20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0.0467065293036513</v>
      </c>
      <c r="L2" s="0" t="n">
        <v>0.0491213020107502</v>
      </c>
      <c r="M2" s="0" t="n">
        <v>0.118929805845411</v>
      </c>
      <c r="N2" s="0" t="n">
        <v>0.558468241619979</v>
      </c>
      <c r="O2" s="0" t="n">
        <v>0.245065253054355</v>
      </c>
      <c r="P2" s="0" t="s">
        <v>20</v>
      </c>
      <c r="Q2" s="0" t="n">
        <v>20</v>
      </c>
    </row>
    <row r="3" customFormat="false" ht="15" hidden="false" customHeight="false" outlineLevel="0" collapsed="false">
      <c r="A3" s="0" t="n">
        <v>30</v>
      </c>
      <c r="B3" s="0" t="n">
        <v>30</v>
      </c>
      <c r="C3" s="0" t="n">
        <v>4</v>
      </c>
      <c r="D3" s="0" t="n">
        <v>5</v>
      </c>
      <c r="E3" s="0" t="n">
        <v>5</v>
      </c>
      <c r="F3" s="0" t="s">
        <v>17</v>
      </c>
      <c r="G3" s="0" t="s">
        <v>18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0.0215919000210676</v>
      </c>
      <c r="L3" s="0" t="n">
        <v>0.0231665641847573</v>
      </c>
      <c r="M3" s="0" t="n">
        <v>0.0543050510310546</v>
      </c>
      <c r="N3" s="0" t="n">
        <v>0.265185571930728</v>
      </c>
      <c r="O3" s="0" t="n">
        <v>0.114905372004641</v>
      </c>
      <c r="P3" s="0" t="s">
        <v>20</v>
      </c>
      <c r="Q3" s="0" t="n">
        <v>30</v>
      </c>
    </row>
    <row r="4" customFormat="false" ht="15" hidden="false" customHeight="false" outlineLevel="0" collapsed="false">
      <c r="A4" s="0" t="n">
        <v>50</v>
      </c>
      <c r="B4" s="0" t="n">
        <v>50</v>
      </c>
      <c r="C4" s="0" t="n">
        <v>4</v>
      </c>
      <c r="D4" s="0" t="n">
        <v>5</v>
      </c>
      <c r="E4" s="0" t="n">
        <v>5</v>
      </c>
      <c r="F4" s="0" t="s">
        <v>17</v>
      </c>
      <c r="G4" s="0" t="s">
        <v>18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0.00802535040980834</v>
      </c>
      <c r="L4" s="0" t="n">
        <v>0.00875976101011038</v>
      </c>
      <c r="M4" s="0" t="n">
        <v>0.0199987785200006</v>
      </c>
      <c r="N4" s="0" t="n">
        <v>0.100620996459747</v>
      </c>
      <c r="O4" s="0" t="n">
        <v>0.043150744927371</v>
      </c>
      <c r="P4" s="0" t="s">
        <v>20</v>
      </c>
      <c r="Q4" s="0" t="n">
        <v>50</v>
      </c>
    </row>
    <row r="5" customFormat="false" ht="15" hidden="false" customHeight="false" outlineLevel="0" collapsed="false">
      <c r="A5" s="0" t="n">
        <v>75</v>
      </c>
      <c r="B5" s="0" t="n">
        <v>75</v>
      </c>
      <c r="C5" s="0" t="n">
        <v>4</v>
      </c>
      <c r="D5" s="0" t="n">
        <v>5</v>
      </c>
      <c r="E5" s="0" t="n">
        <v>5</v>
      </c>
      <c r="F5" s="0" t="s">
        <v>17</v>
      </c>
      <c r="G5" s="0" t="s">
        <v>18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0.00363358259860114</v>
      </c>
      <c r="L5" s="0" t="n">
        <v>0.00399062891443578</v>
      </c>
      <c r="M5" s="0" t="n">
        <v>0.00899925911197932</v>
      </c>
      <c r="N5" s="0" t="n">
        <v>0.0459055520561193</v>
      </c>
      <c r="O5" s="0" t="n">
        <v>0.019583398517836</v>
      </c>
      <c r="P5" s="0" t="s">
        <v>20</v>
      </c>
      <c r="Q5" s="0" t="n">
        <v>75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5</v>
      </c>
      <c r="E6" s="0" t="n">
        <v>5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0.00206266233902108</v>
      </c>
      <c r="L6" s="0" t="n">
        <v>0.00227253837078201</v>
      </c>
      <c r="M6" s="0" t="n">
        <v>0.00509504666504659</v>
      </c>
      <c r="N6" s="0" t="n">
        <v>0.0261607958380315</v>
      </c>
      <c r="O6" s="0" t="n">
        <v>0.0111308325354004</v>
      </c>
      <c r="P6" s="0" t="s">
        <v>20</v>
      </c>
      <c r="Q6" s="0" t="n">
        <v>100</v>
      </c>
    </row>
    <row r="7" customFormat="false" ht="15" hidden="false" customHeight="false" outlineLevel="0" collapsed="false">
      <c r="A7" s="0" t="n">
        <v>125</v>
      </c>
      <c r="B7" s="0" t="n">
        <v>125</v>
      </c>
      <c r="C7" s="0" t="n">
        <v>4</v>
      </c>
      <c r="D7" s="0" t="n">
        <v>5</v>
      </c>
      <c r="E7" s="0" t="n">
        <v>5</v>
      </c>
      <c r="F7" s="0" t="s">
        <v>17</v>
      </c>
      <c r="G7" s="0" t="s">
        <v>18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0.00132697349591471</v>
      </c>
      <c r="L7" s="0" t="n">
        <v>0.00146517806495009</v>
      </c>
      <c r="M7" s="0" t="n">
        <v>0.00327386537448002</v>
      </c>
      <c r="N7" s="0" t="n">
        <v>0.0168741981165894</v>
      </c>
      <c r="O7" s="0" t="n">
        <v>0.00716819312731188</v>
      </c>
      <c r="P7" s="0" t="s">
        <v>20</v>
      </c>
      <c r="Q7" s="0" t="n">
        <v>125</v>
      </c>
    </row>
    <row r="8" customFormat="false" ht="15" hidden="false" customHeight="false" outlineLevel="0" collapsed="false">
      <c r="A8" s="0" t="n">
        <v>150</v>
      </c>
      <c r="B8" s="0" t="n">
        <v>150</v>
      </c>
      <c r="C8" s="0" t="n">
        <v>4</v>
      </c>
      <c r="D8" s="0" t="n">
        <v>5</v>
      </c>
      <c r="E8" s="0" t="n">
        <v>5</v>
      </c>
      <c r="F8" s="0" t="s">
        <v>17</v>
      </c>
      <c r="G8" s="0" t="s">
        <v>18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0.000924535488269096</v>
      </c>
      <c r="L8" s="0" t="n">
        <v>0.00102248557900894</v>
      </c>
      <c r="M8" s="0" t="n">
        <v>0.00227966377026132</v>
      </c>
      <c r="N8" s="0" t="n">
        <v>0.0117793108303833</v>
      </c>
      <c r="O8" s="0" t="n">
        <v>0.00499856489442431</v>
      </c>
      <c r="P8" s="0" t="s">
        <v>20</v>
      </c>
      <c r="Q8" s="0" t="n">
        <v>150</v>
      </c>
    </row>
    <row r="9" customFormat="false" ht="15" hidden="false" customHeight="false" outlineLevel="0" collapsed="false">
      <c r="A9" s="0" t="n">
        <v>175</v>
      </c>
      <c r="B9" s="0" t="n">
        <v>175</v>
      </c>
      <c r="C9" s="0" t="n">
        <v>4</v>
      </c>
      <c r="D9" s="0" t="n">
        <v>5</v>
      </c>
      <c r="E9" s="0" t="n">
        <v>5</v>
      </c>
      <c r="F9" s="0" t="s">
        <v>17</v>
      </c>
      <c r="G9" s="0" t="s">
        <v>18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0.000680803671653796</v>
      </c>
      <c r="L9" s="0" t="n">
        <v>0.00075384430743229</v>
      </c>
      <c r="M9" s="0" t="n">
        <v>0.00167810395688511</v>
      </c>
      <c r="N9" s="0" t="n">
        <v>0.00868635368283605</v>
      </c>
      <c r="O9" s="0" t="n">
        <v>0.00368326699529812</v>
      </c>
      <c r="P9" s="0" t="s">
        <v>20</v>
      </c>
      <c r="Q9" s="0" t="n">
        <v>175</v>
      </c>
    </row>
    <row r="10" customFormat="false" ht="15" hidden="false" customHeight="false" outlineLevel="0" collapsed="false">
      <c r="A10" s="0" t="n">
        <v>200</v>
      </c>
      <c r="B10" s="0" t="n">
        <v>200</v>
      </c>
      <c r="C10" s="0" t="n">
        <v>4</v>
      </c>
      <c r="D10" s="0" t="n">
        <v>5</v>
      </c>
      <c r="E10" s="0" t="n">
        <v>5</v>
      </c>
      <c r="F10" s="0" t="s">
        <v>17</v>
      </c>
      <c r="G10" s="0" t="s">
        <v>18</v>
      </c>
      <c r="H10" s="0" t="s">
        <v>19</v>
      </c>
      <c r="I10" s="1" t="b">
        <f aca="false">FALSE()</f>
        <v>0</v>
      </c>
      <c r="J10" s="1" t="b">
        <f aca="false">TRUE()</f>
        <v>1</v>
      </c>
      <c r="K10" s="0" t="n">
        <v>0.000522108075476479</v>
      </c>
      <c r="L10" s="0" t="n">
        <v>0.000578683034236243</v>
      </c>
      <c r="M10" s="0" t="n">
        <v>0.00128669393232622</v>
      </c>
      <c r="N10" s="0" t="n">
        <v>0.00666909501029761</v>
      </c>
      <c r="O10" s="0" t="n">
        <v>0.00282627727829386</v>
      </c>
      <c r="P10" s="0" t="s">
        <v>20</v>
      </c>
      <c r="Q10" s="0" t="n">
        <v>200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5</v>
      </c>
      <c r="E11" s="0" t="n">
        <v>5</v>
      </c>
      <c r="F11" s="0" t="s">
        <v>17</v>
      </c>
      <c r="G11" s="0" t="s">
        <v>18</v>
      </c>
      <c r="H11" s="0" t="s">
        <v>19</v>
      </c>
      <c r="I11" s="1" t="b">
        <f aca="false">FALSE()</f>
        <v>0</v>
      </c>
      <c r="J11" s="1" t="b">
        <f aca="false">TRUE()</f>
        <v>1</v>
      </c>
      <c r="K11" s="0" t="n">
        <v>0.00033488672447668</v>
      </c>
      <c r="L11" s="0" t="n">
        <v>0.000371721964092241</v>
      </c>
      <c r="M11" s="0" t="n">
        <v>0.000825187352036081</v>
      </c>
      <c r="N11" s="0" t="n">
        <v>0.00428491822481845</v>
      </c>
      <c r="O11" s="0" t="n">
        <v>0.00181444273874566</v>
      </c>
      <c r="P11" s="0" t="s">
        <v>20</v>
      </c>
      <c r="Q11" s="0" t="n">
        <v>250</v>
      </c>
    </row>
    <row r="12" customFormat="false" ht="15" hidden="false" customHeight="false" outlineLevel="0" collapsed="false">
      <c r="A12" s="0" t="n">
        <v>300</v>
      </c>
      <c r="B12" s="0" t="n">
        <v>300</v>
      </c>
      <c r="C12" s="0" t="n">
        <v>4</v>
      </c>
      <c r="D12" s="0" t="n">
        <v>5</v>
      </c>
      <c r="E12" s="0" t="n">
        <v>5</v>
      </c>
      <c r="F12" s="0" t="s">
        <v>17</v>
      </c>
      <c r="G12" s="0" t="s">
        <v>18</v>
      </c>
      <c r="H12" s="0" t="s">
        <v>19</v>
      </c>
      <c r="I12" s="1" t="b">
        <f aca="false">FALSE()</f>
        <v>0</v>
      </c>
      <c r="J12" s="1" t="b">
        <f aca="false">TRUE()</f>
        <v>1</v>
      </c>
      <c r="K12" s="0" t="n">
        <v>0.000232885182627096</v>
      </c>
      <c r="L12" s="0" t="n">
        <v>0.000258771180419946</v>
      </c>
      <c r="M12" s="0" t="n">
        <v>0.000573831202775889</v>
      </c>
      <c r="N12" s="0" t="n">
        <v>0.00298333993455478</v>
      </c>
      <c r="O12" s="0" t="n">
        <v>0.00126262427784372</v>
      </c>
      <c r="P12" s="0" t="s">
        <v>20</v>
      </c>
      <c r="Q12" s="0" t="n">
        <v>300</v>
      </c>
    </row>
    <row r="13" customFormat="false" ht="15" hidden="false" customHeight="false" outlineLevel="0" collapsed="false">
      <c r="A13" s="0" t="n">
        <v>500</v>
      </c>
      <c r="B13" s="0" t="n">
        <v>500</v>
      </c>
      <c r="C13" s="0" t="n">
        <v>4</v>
      </c>
      <c r="D13" s="0" t="n">
        <v>5</v>
      </c>
      <c r="E13" s="0" t="n">
        <v>5</v>
      </c>
      <c r="F13" s="0" t="s">
        <v>17</v>
      </c>
      <c r="G13" s="0" t="s">
        <v>18</v>
      </c>
      <c r="H13" s="0" t="s">
        <v>19</v>
      </c>
      <c r="I13" s="1" t="b">
        <f aca="false">FALSE()</f>
        <v>0</v>
      </c>
      <c r="J13" s="1" t="b">
        <f aca="false">TRUE()</f>
        <v>1</v>
      </c>
      <c r="K13" s="0" t="n">
        <v>8.41126384758528E-005</v>
      </c>
      <c r="L13" s="0" t="n">
        <v>9.36544373671642E-005</v>
      </c>
      <c r="M13" s="0" t="n">
        <v>0.000207235505571827</v>
      </c>
      <c r="N13" s="0" t="n">
        <v>0.00108010352323379</v>
      </c>
      <c r="O13" s="0" t="n">
        <v>0.000456622466248441</v>
      </c>
      <c r="P13" s="0" t="s">
        <v>20</v>
      </c>
      <c r="Q13" s="0" t="n">
        <v>500</v>
      </c>
    </row>
    <row r="14" customFormat="false" ht="15" hidden="false" customHeight="false" outlineLevel="0" collapsed="false">
      <c r="A14" s="0" t="n">
        <v>750</v>
      </c>
      <c r="B14" s="0" t="n">
        <v>750</v>
      </c>
      <c r="C14" s="0" t="n">
        <v>4</v>
      </c>
      <c r="D14" s="0" t="n">
        <v>5</v>
      </c>
      <c r="E14" s="0" t="n">
        <v>5</v>
      </c>
      <c r="F14" s="0" t="s">
        <v>17</v>
      </c>
      <c r="G14" s="0" t="s">
        <v>18</v>
      </c>
      <c r="H14" s="0" t="s">
        <v>19</v>
      </c>
      <c r="I14" s="1" t="b">
        <f aca="false">FALSE()</f>
        <v>0</v>
      </c>
      <c r="J14" s="1" t="b">
        <f aca="false">TRUE()</f>
        <v>1</v>
      </c>
      <c r="K14" s="0" t="n">
        <v>3.69594768006021E-005</v>
      </c>
      <c r="L14" s="0" t="n">
        <v>4.12104101745613E-005</v>
      </c>
      <c r="M14" s="0" t="n">
        <v>9.10878287272447E-005</v>
      </c>
      <c r="N14" s="0" t="n">
        <v>0.000474996534999932</v>
      </c>
      <c r="O14" s="0" t="n">
        <v>0.000200814507095387</v>
      </c>
      <c r="P14" s="0" t="s">
        <v>20</v>
      </c>
      <c r="Q14" s="0" t="n">
        <v>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0.05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397.704670241428</v>
      </c>
      <c r="L2" s="0" t="n">
        <v>513.544730126481</v>
      </c>
      <c r="M2" s="0" t="n">
        <v>16172.3619670133</v>
      </c>
      <c r="N2" s="0" t="n">
        <v>1.00496027051299</v>
      </c>
      <c r="O2" s="0" t="n">
        <v>0.999596097950772</v>
      </c>
      <c r="P2" s="0" t="s">
        <v>21</v>
      </c>
      <c r="Q2" s="0" t="n">
        <v>0.05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0.1</v>
      </c>
      <c r="D3" s="0" t="n">
        <v>5</v>
      </c>
      <c r="E3" s="0" t="n">
        <v>5</v>
      </c>
      <c r="F3" s="0" t="s">
        <v>17</v>
      </c>
      <c r="G3" s="0" t="s">
        <v>18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101.069088150992</v>
      </c>
      <c r="L3" s="0" t="n">
        <v>129.038682243453</v>
      </c>
      <c r="M3" s="0" t="n">
        <v>4071.26136528761</v>
      </c>
      <c r="N3" s="0" t="n">
        <v>1.0198410825453</v>
      </c>
      <c r="O3" s="0" t="n">
        <v>1.00458412009743</v>
      </c>
      <c r="P3" s="0" t="s">
        <v>21</v>
      </c>
      <c r="Q3" s="0" t="n">
        <v>0.1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0.5</v>
      </c>
      <c r="D4" s="0" t="n">
        <v>5</v>
      </c>
      <c r="E4" s="0" t="n">
        <v>5</v>
      </c>
      <c r="F4" s="0" t="s">
        <v>17</v>
      </c>
      <c r="G4" s="0" t="s">
        <v>18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4.43807606331781E-006</v>
      </c>
      <c r="L4" s="0" t="n">
        <v>7.17127638294835E-006</v>
      </c>
      <c r="M4" s="0" t="n">
        <v>1.56854279800061E-005</v>
      </c>
      <c r="N4" s="0" t="n">
        <v>4.14202898522245E-005</v>
      </c>
      <c r="O4" s="0" t="n">
        <v>3.19272587310654E-005</v>
      </c>
      <c r="P4" s="0" t="s">
        <v>21</v>
      </c>
      <c r="Q4" s="0" t="n">
        <v>0.5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1</v>
      </c>
      <c r="D5" s="0" t="n">
        <v>5</v>
      </c>
      <c r="E5" s="0" t="n">
        <v>5</v>
      </c>
      <c r="F5" s="0" t="s">
        <v>17</v>
      </c>
      <c r="G5" s="0" t="s">
        <v>18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3.19220370315065E-006</v>
      </c>
      <c r="L5" s="0" t="n">
        <v>4.81043794109651E-006</v>
      </c>
      <c r="M5" s="0" t="n">
        <v>1.05349548531309E-005</v>
      </c>
      <c r="N5" s="0" t="n">
        <v>3.20684597966213E-005</v>
      </c>
      <c r="O5" s="0" t="n">
        <v>2.16300079201386E-005</v>
      </c>
      <c r="P5" s="0" t="s">
        <v>21</v>
      </c>
      <c r="Q5" s="0" t="n">
        <v>1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2</v>
      </c>
      <c r="D6" s="0" t="n">
        <v>5</v>
      </c>
      <c r="E6" s="0" t="n">
        <v>5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2.67591226763564E-005</v>
      </c>
      <c r="L6" s="0" t="n">
        <v>3.34692855725054E-005</v>
      </c>
      <c r="M6" s="0" t="n">
        <v>7.37565698366225E-005</v>
      </c>
      <c r="N6" s="0" t="n">
        <v>0.000315136192231357</v>
      </c>
      <c r="O6" s="0" t="n">
        <v>0.000156793206388757</v>
      </c>
      <c r="P6" s="0" t="s">
        <v>21</v>
      </c>
      <c r="Q6" s="0" t="n">
        <v>2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2.5</v>
      </c>
      <c r="D7" s="0" t="n">
        <v>5</v>
      </c>
      <c r="E7" s="0" t="n">
        <v>5</v>
      </c>
      <c r="F7" s="0" t="s">
        <v>17</v>
      </c>
      <c r="G7" s="0" t="s">
        <v>18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5.85096837886212E-005</v>
      </c>
      <c r="L7" s="0" t="n">
        <v>6.9625094229864E-005</v>
      </c>
      <c r="M7" s="0" t="n">
        <v>0.000153836183554676</v>
      </c>
      <c r="N7" s="0" t="n">
        <v>0.000714117849846548</v>
      </c>
      <c r="O7" s="0" t="n">
        <v>0.000331278611281514</v>
      </c>
      <c r="P7" s="0" t="s">
        <v>21</v>
      </c>
      <c r="Q7" s="0" t="n">
        <v>2.5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3</v>
      </c>
      <c r="D8" s="0" t="n">
        <v>5</v>
      </c>
      <c r="E8" s="0" t="n">
        <v>5</v>
      </c>
      <c r="F8" s="0" t="s">
        <v>17</v>
      </c>
      <c r="G8" s="0" t="s">
        <v>18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0.000113639822452938</v>
      </c>
      <c r="L8" s="0" t="n">
        <v>0.000130894724930574</v>
      </c>
      <c r="M8" s="0" t="n">
        <v>0.000289795616175331</v>
      </c>
      <c r="N8" s="0" t="n">
        <v>0.00141845038544434</v>
      </c>
      <c r="O8" s="0" t="n">
        <v>0.000629934756481503</v>
      </c>
      <c r="P8" s="0" t="s">
        <v>21</v>
      </c>
      <c r="Q8" s="0" t="n">
        <v>3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3.5</v>
      </c>
      <c r="D9" s="0" t="n">
        <v>5</v>
      </c>
      <c r="E9" s="0" t="n">
        <v>5</v>
      </c>
      <c r="F9" s="0" t="s">
        <v>17</v>
      </c>
      <c r="G9" s="0" t="s">
        <v>18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0.000201879646270608</v>
      </c>
      <c r="L9" s="0" t="n">
        <v>0.000227511940743362</v>
      </c>
      <c r="M9" s="0" t="n">
        <v>0.000504470220517791</v>
      </c>
      <c r="N9" s="0" t="n">
        <v>0.00255725776419437</v>
      </c>
      <c r="O9" s="0" t="n">
        <v>0.00110393965848596</v>
      </c>
      <c r="P9" s="0" t="s">
        <v>21</v>
      </c>
      <c r="Q9" s="0" t="n">
        <v>3.5</v>
      </c>
    </row>
    <row r="10" customFormat="false" ht="15" hidden="false" customHeight="false" outlineLevel="0" collapsed="false">
      <c r="A10" s="0" t="n">
        <v>250</v>
      </c>
      <c r="B10" s="0" t="n">
        <v>250</v>
      </c>
      <c r="C10" s="0" t="n">
        <v>4</v>
      </c>
      <c r="D10" s="0" t="n">
        <v>5</v>
      </c>
      <c r="E10" s="0" t="n">
        <v>5</v>
      </c>
      <c r="F10" s="0" t="s">
        <v>17</v>
      </c>
      <c r="G10" s="0" t="s">
        <v>18</v>
      </c>
      <c r="H10" s="0" t="s">
        <v>19</v>
      </c>
      <c r="I10" s="1" t="b">
        <f aca="false">FALSE()</f>
        <v>0</v>
      </c>
      <c r="J10" s="1" t="b">
        <f aca="false">TRUE()</f>
        <v>1</v>
      </c>
      <c r="K10" s="0" t="n">
        <v>0.00033488672447668</v>
      </c>
      <c r="L10" s="0" t="n">
        <v>0.000371721964092241</v>
      </c>
      <c r="M10" s="0" t="n">
        <v>0.000825187352036081</v>
      </c>
      <c r="N10" s="0" t="n">
        <v>0.00428491822481845</v>
      </c>
      <c r="O10" s="0" t="n">
        <v>0.00181444273874566</v>
      </c>
      <c r="P10" s="0" t="s">
        <v>21</v>
      </c>
      <c r="Q10" s="0" t="n">
        <v>4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5</v>
      </c>
      <c r="D11" s="0" t="n">
        <v>5</v>
      </c>
      <c r="E11" s="0" t="n">
        <v>5</v>
      </c>
      <c r="F11" s="0" t="s">
        <v>17</v>
      </c>
      <c r="G11" s="0" t="s">
        <v>18</v>
      </c>
      <c r="H11" s="0" t="s">
        <v>19</v>
      </c>
      <c r="I11" s="1" t="b">
        <f aca="false">FALSE()</f>
        <v>0</v>
      </c>
      <c r="J11" s="1" t="b">
        <f aca="false">TRUE()</f>
        <v>1</v>
      </c>
      <c r="K11" s="0" t="n">
        <v>0.000790485040457089</v>
      </c>
      <c r="L11" s="0" t="n">
        <v>0.00086097961437967</v>
      </c>
      <c r="M11" s="0" t="n">
        <v>0.00191435739096792</v>
      </c>
      <c r="N11" s="0" t="n">
        <v>0.0102375550525884</v>
      </c>
      <c r="O11" s="0" t="n">
        <v>0.00423417729628213</v>
      </c>
      <c r="P11" s="0" t="s">
        <v>21</v>
      </c>
      <c r="Q11" s="0" t="n">
        <v>5</v>
      </c>
    </row>
    <row r="12" customFormat="false" ht="15" hidden="false" customHeight="false" outlineLevel="0" collapsed="false">
      <c r="A12" s="0" t="n">
        <v>250</v>
      </c>
      <c r="B12" s="0" t="n">
        <v>250</v>
      </c>
      <c r="C12" s="0" t="n">
        <v>7.5</v>
      </c>
      <c r="D12" s="0" t="n">
        <v>5</v>
      </c>
      <c r="E12" s="0" t="n">
        <v>5</v>
      </c>
      <c r="F12" s="0" t="s">
        <v>17</v>
      </c>
      <c r="G12" s="0" t="s">
        <v>18</v>
      </c>
      <c r="H12" s="0" t="s">
        <v>19</v>
      </c>
      <c r="I12" s="1" t="b">
        <f aca="false">FALSE()</f>
        <v>0</v>
      </c>
      <c r="J12" s="1" t="b">
        <f aca="false">TRUE()</f>
        <v>1</v>
      </c>
      <c r="K12" s="0" t="n">
        <v>0.00387799681100487</v>
      </c>
      <c r="L12" s="0" t="n">
        <v>0.00414041339308611</v>
      </c>
      <c r="M12" s="0" t="n">
        <v>0.00922480181755157</v>
      </c>
      <c r="N12" s="0" t="n">
        <v>0.0507053125170371</v>
      </c>
      <c r="O12" s="0" t="n">
        <v>0.0204699637225015</v>
      </c>
      <c r="P12" s="0" t="s">
        <v>21</v>
      </c>
      <c r="Q12" s="0" t="n">
        <v>7.5</v>
      </c>
    </row>
    <row r="13" customFormat="false" ht="15" hidden="false" customHeight="false" outlineLevel="0" collapsed="false">
      <c r="A13" s="0" t="n">
        <v>250</v>
      </c>
      <c r="B13" s="0" t="n">
        <v>250</v>
      </c>
      <c r="C13" s="0" t="n">
        <v>10</v>
      </c>
      <c r="D13" s="0" t="n">
        <v>5</v>
      </c>
      <c r="E13" s="0" t="n">
        <v>5</v>
      </c>
      <c r="F13" s="0" t="s">
        <v>17</v>
      </c>
      <c r="G13" s="0" t="s">
        <v>18</v>
      </c>
      <c r="H13" s="0" t="s">
        <v>19</v>
      </c>
      <c r="I13" s="1" t="b">
        <f aca="false">FALSE()</f>
        <v>0</v>
      </c>
      <c r="J13" s="1" t="b">
        <f aca="false">TRUE()</f>
        <v>1</v>
      </c>
      <c r="K13" s="0" t="n">
        <v>0.0122276488753716</v>
      </c>
      <c r="L13" s="0" t="n">
        <v>0.0129586934973067</v>
      </c>
      <c r="M13" s="0" t="n">
        <v>0.0288956139482763</v>
      </c>
      <c r="N13" s="0" t="n">
        <v>0.158993000598737</v>
      </c>
      <c r="O13" s="0" t="n">
        <v>0.0636310501532619</v>
      </c>
      <c r="P13" s="0" t="s">
        <v>21</v>
      </c>
      <c r="Q13" s="0" t="n">
        <v>10</v>
      </c>
    </row>
    <row r="14" customFormat="false" ht="15" hidden="false" customHeight="false" outlineLevel="0" collapsed="false">
      <c r="A14" s="0" t="n">
        <v>250</v>
      </c>
      <c r="B14" s="0" t="n">
        <v>250</v>
      </c>
      <c r="C14" s="0" t="n">
        <v>15</v>
      </c>
      <c r="D14" s="0" t="n">
        <v>5</v>
      </c>
      <c r="E14" s="0" t="n">
        <v>5</v>
      </c>
      <c r="F14" s="0" t="s">
        <v>17</v>
      </c>
      <c r="G14" s="0" t="s">
        <v>18</v>
      </c>
      <c r="H14" s="0" t="s">
        <v>19</v>
      </c>
      <c r="I14" s="1" t="b">
        <f aca="false">FALSE()</f>
        <v>0</v>
      </c>
      <c r="J14" s="1" t="b">
        <f aca="false">TRUE()</f>
        <v>1</v>
      </c>
      <c r="K14" s="0" t="n">
        <v>0.0654831026002749</v>
      </c>
      <c r="L14" s="0" t="n">
        <v>0.0689801489626659</v>
      </c>
      <c r="M14" s="0" t="n">
        <v>0.153624811897889</v>
      </c>
      <c r="N14" s="0" t="n">
        <v>0.800056489150253</v>
      </c>
      <c r="O14" s="0" t="n">
        <v>0.318190946010565</v>
      </c>
      <c r="P14" s="0" t="s">
        <v>21</v>
      </c>
      <c r="Q14" s="0" t="n">
        <v>15</v>
      </c>
    </row>
    <row r="15" customFormat="false" ht="15" hidden="false" customHeight="false" outlineLevel="0" collapsed="false">
      <c r="A15" s="0" t="n">
        <v>250</v>
      </c>
      <c r="B15" s="0" t="n">
        <v>250</v>
      </c>
      <c r="C15" s="0" t="n">
        <v>20</v>
      </c>
      <c r="D15" s="0" t="n">
        <v>5</v>
      </c>
      <c r="E15" s="0" t="n">
        <v>5</v>
      </c>
      <c r="F15" s="0" t="s">
        <v>17</v>
      </c>
      <c r="G15" s="0" t="s">
        <v>18</v>
      </c>
      <c r="H15" s="0" t="s">
        <v>19</v>
      </c>
      <c r="I15" s="1" t="b">
        <f aca="false">FALSE()</f>
        <v>0</v>
      </c>
      <c r="J15" s="1" t="b">
        <f aca="false">TRUE()</f>
        <v>1</v>
      </c>
      <c r="K15" s="0" t="n">
        <v>0.253002856302487</v>
      </c>
      <c r="L15" s="0" t="n">
        <v>0.265626163181185</v>
      </c>
      <c r="M15" s="0" t="n">
        <v>0.587165335167811</v>
      </c>
      <c r="N15" s="0" t="n">
        <v>2.52194766560504</v>
      </c>
      <c r="O15" s="0" t="n">
        <v>1.00079280932004</v>
      </c>
      <c r="P15" s="0" t="s">
        <v>21</v>
      </c>
      <c r="Q15" s="0" t="n">
        <v>20</v>
      </c>
    </row>
    <row r="16" customFormat="false" ht="15" hidden="false" customHeight="false" outlineLevel="0" collapsed="false">
      <c r="A16" s="0" t="n">
        <v>250</v>
      </c>
      <c r="B16" s="0" t="n">
        <v>250</v>
      </c>
      <c r="C16" s="0" t="n">
        <v>30</v>
      </c>
      <c r="D16" s="0" t="n">
        <v>5</v>
      </c>
      <c r="E16" s="0" t="n">
        <v>5</v>
      </c>
      <c r="F16" s="0" t="s">
        <v>17</v>
      </c>
      <c r="G16" s="0" t="s">
        <v>18</v>
      </c>
      <c r="H16" s="0" t="s">
        <v>19</v>
      </c>
      <c r="I16" s="1" t="b">
        <f aca="false">FALSE()</f>
        <v>0</v>
      </c>
      <c r="J16" s="1" t="b">
        <f aca="false">TRUE()</f>
        <v>1</v>
      </c>
      <c r="K16" s="0" t="n">
        <v>10.8306071190981</v>
      </c>
      <c r="L16" s="0" t="n">
        <v>9.93459140067598</v>
      </c>
      <c r="M16" s="0" t="n">
        <v>23.6031947351869</v>
      </c>
      <c r="N16" s="0" t="n">
        <v>12.7250662715788</v>
      </c>
      <c r="O16" s="0" t="n">
        <v>5.04175025760733</v>
      </c>
      <c r="P16" s="0" t="s">
        <v>21</v>
      </c>
      <c r="Q16" s="0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0.00033488672447668</v>
      </c>
      <c r="L2" s="0" t="n">
        <v>0.000371721964092241</v>
      </c>
      <c r="M2" s="0" t="n">
        <v>0.000825187352036081</v>
      </c>
      <c r="N2" s="0" t="n">
        <v>0.00428491822481845</v>
      </c>
      <c r="O2" s="0" t="n">
        <v>0.00181444273874566</v>
      </c>
      <c r="P2" s="0" t="s">
        <v>3</v>
      </c>
      <c r="Q2" s="0" t="n">
        <v>5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4</v>
      </c>
      <c r="D3" s="0" t="n">
        <v>7</v>
      </c>
      <c r="E3" s="0" t="n">
        <v>5</v>
      </c>
      <c r="F3" s="0" t="s">
        <v>17</v>
      </c>
      <c r="G3" s="0" t="s">
        <v>18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0.000334833355627118</v>
      </c>
      <c r="L3" s="0" t="n">
        <v>0.000371664597037559</v>
      </c>
      <c r="M3" s="0" t="n">
        <v>0.000825130140514826</v>
      </c>
      <c r="N3" s="0" t="n">
        <v>0.00428421745984637</v>
      </c>
      <c r="O3" s="0" t="n">
        <v>0.00181416045073409</v>
      </c>
      <c r="P3" s="0" t="s">
        <v>3</v>
      </c>
      <c r="Q3" s="0" t="n">
        <v>7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4</v>
      </c>
      <c r="D4" s="0" t="n">
        <v>10</v>
      </c>
      <c r="E4" s="0" t="n">
        <v>5</v>
      </c>
      <c r="F4" s="0" t="s">
        <v>17</v>
      </c>
      <c r="G4" s="0" t="s">
        <v>18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0.00463211227714855</v>
      </c>
      <c r="L4" s="0" t="n">
        <v>0.00495629289851896</v>
      </c>
      <c r="M4" s="0" t="n">
        <v>0.100833751004313</v>
      </c>
      <c r="N4" s="0" t="n">
        <v>0.00999472071687664</v>
      </c>
      <c r="O4" s="0" t="n">
        <v>0.00423229171633132</v>
      </c>
      <c r="P4" s="0" t="s">
        <v>3</v>
      </c>
      <c r="Q4" s="0" t="n">
        <v>10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4</v>
      </c>
      <c r="D5" s="0" t="n">
        <v>15</v>
      </c>
      <c r="E5" s="0" t="n">
        <v>5</v>
      </c>
      <c r="F5" s="0" t="s">
        <v>17</v>
      </c>
      <c r="G5" s="0" t="s">
        <v>18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0.0111369730694656</v>
      </c>
      <c r="L5" s="0" t="n">
        <v>0.00569837769714042</v>
      </c>
      <c r="M5" s="0" t="n">
        <v>0.0210764132864983</v>
      </c>
      <c r="N5" s="0" t="n">
        <v>0.0214680717315145</v>
      </c>
      <c r="O5" s="0" t="n">
        <v>0.0086494367816674</v>
      </c>
      <c r="P5" s="0" t="s">
        <v>3</v>
      </c>
      <c r="Q5" s="0" t="n">
        <v>15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4</v>
      </c>
      <c r="D6" s="0" t="n">
        <v>20</v>
      </c>
      <c r="E6" s="0" t="n">
        <v>5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0.00224483403657583</v>
      </c>
      <c r="L6" s="0" t="n">
        <v>0.00205694551179429</v>
      </c>
      <c r="M6" s="0" t="n">
        <v>0.00532242513112366</v>
      </c>
      <c r="N6" s="0" t="n">
        <v>0.0243855781977306</v>
      </c>
      <c r="O6" s="0" t="n">
        <v>0.0102217983963922</v>
      </c>
      <c r="P6" s="0" t="s">
        <v>3</v>
      </c>
      <c r="Q6" s="0" t="n">
        <v>20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4</v>
      </c>
      <c r="D7" s="0" t="n">
        <v>25</v>
      </c>
      <c r="E7" s="0" t="n">
        <v>5</v>
      </c>
      <c r="F7" s="0" t="s">
        <v>17</v>
      </c>
      <c r="G7" s="0" t="s">
        <v>18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0.0021552459962727</v>
      </c>
      <c r="L7" s="0" t="n">
        <v>0.00215307140957861</v>
      </c>
      <c r="M7" s="0" t="n">
        <v>0.00553706408348603</v>
      </c>
      <c r="N7" s="0" t="n">
        <v>0.0244981443842582</v>
      </c>
      <c r="O7" s="0" t="n">
        <v>0.0103228877353846</v>
      </c>
      <c r="P7" s="0" t="s">
        <v>3</v>
      </c>
      <c r="Q7" s="0" t="n">
        <v>25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4</v>
      </c>
      <c r="D8" s="0" t="n">
        <v>40</v>
      </c>
      <c r="E8" s="0" t="n">
        <v>5</v>
      </c>
      <c r="F8" s="0" t="s">
        <v>17</v>
      </c>
      <c r="G8" s="0" t="s">
        <v>18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0.000243410022191248</v>
      </c>
      <c r="L8" s="0" t="n">
        <v>0.000103428374680516</v>
      </c>
      <c r="M8" s="0" t="n">
        <v>0.00033688968327229</v>
      </c>
      <c r="N8" s="0" t="n">
        <v>0.000537940857608305</v>
      </c>
      <c r="O8" s="0" t="n">
        <v>5.64974090907596E-005</v>
      </c>
      <c r="P8" s="0" t="s">
        <v>3</v>
      </c>
      <c r="Q8" s="0" t="n">
        <v>40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4</v>
      </c>
      <c r="D9" s="0" t="n">
        <v>50</v>
      </c>
      <c r="E9" s="0" t="n">
        <v>5</v>
      </c>
      <c r="F9" s="0" t="s">
        <v>17</v>
      </c>
      <c r="G9" s="0" t="s">
        <v>18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1.47124516904629E-005</v>
      </c>
      <c r="L9" s="0" t="n">
        <v>9.99844201690431E-006</v>
      </c>
      <c r="M9" s="0" t="n">
        <v>3.59244388910733E-005</v>
      </c>
      <c r="N9" s="0" t="n">
        <v>0.000886336542307373</v>
      </c>
      <c r="O9" s="0" t="n">
        <v>5.79327563928336E-005</v>
      </c>
      <c r="P9" s="0" t="s">
        <v>3</v>
      </c>
      <c r="Q9" s="0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0.00033488672447668</v>
      </c>
      <c r="L2" s="0" t="n">
        <v>0.000371721964092241</v>
      </c>
      <c r="M2" s="0" t="n">
        <v>0.000825187352036081</v>
      </c>
      <c r="N2" s="0" t="n">
        <v>0.00428491822481845</v>
      </c>
      <c r="O2" s="0" t="n">
        <v>0.00181444273874566</v>
      </c>
      <c r="P2" s="0" t="s">
        <v>4</v>
      </c>
      <c r="Q2" s="0" t="n">
        <v>5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4</v>
      </c>
      <c r="D3" s="0" t="n">
        <v>5</v>
      </c>
      <c r="E3" s="0" t="n">
        <v>6</v>
      </c>
      <c r="F3" s="0" t="s">
        <v>17</v>
      </c>
      <c r="G3" s="0" t="s">
        <v>18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0.000334880101040547</v>
      </c>
      <c r="L3" s="0" t="n">
        <v>0.00037171468802264</v>
      </c>
      <c r="M3" s="0" t="n">
        <v>0.000825170755834237</v>
      </c>
      <c r="N3" s="0" t="n">
        <v>0.0042848333074231</v>
      </c>
      <c r="O3" s="0" t="n">
        <v>0.00181440733417847</v>
      </c>
      <c r="P3" s="0" t="s">
        <v>4</v>
      </c>
      <c r="Q3" s="0" t="n">
        <v>6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4</v>
      </c>
      <c r="D4" s="0" t="n">
        <v>5</v>
      </c>
      <c r="E4" s="0" t="n">
        <v>7</v>
      </c>
      <c r="F4" s="0" t="s">
        <v>17</v>
      </c>
      <c r="G4" s="0" t="s">
        <v>18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0.000334880525588055</v>
      </c>
      <c r="L4" s="0" t="n">
        <v>0.000371715067842753</v>
      </c>
      <c r="M4" s="0" t="n">
        <v>0.000825171429691747</v>
      </c>
      <c r="N4" s="0" t="n">
        <v>0.00428483597582695</v>
      </c>
      <c r="O4" s="0" t="n">
        <v>0.0018144087473928</v>
      </c>
      <c r="P4" s="0" t="s">
        <v>4</v>
      </c>
      <c r="Q4" s="0" t="n">
        <v>7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4</v>
      </c>
      <c r="D5" s="0" t="n">
        <v>5</v>
      </c>
      <c r="E5" s="0" t="n">
        <v>8</v>
      </c>
      <c r="F5" s="0" t="s">
        <v>17</v>
      </c>
      <c r="G5" s="0" t="s">
        <v>18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0.000334882937035763</v>
      </c>
      <c r="L5" s="0" t="n">
        <v>0.000371717751230641</v>
      </c>
      <c r="M5" s="0" t="n">
        <v>0.000825177216439927</v>
      </c>
      <c r="N5" s="0" t="n">
        <v>0.00428486675819927</v>
      </c>
      <c r="O5" s="0" t="n">
        <v>0.00181442219776171</v>
      </c>
      <c r="P5" s="0" t="s">
        <v>4</v>
      </c>
      <c r="Q5" s="0" t="n">
        <v>8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4</v>
      </c>
      <c r="D6" s="0" t="n">
        <v>5</v>
      </c>
      <c r="E6" s="0" t="n">
        <v>9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0.000334879720274239</v>
      </c>
      <c r="L6" s="0" t="n">
        <v>0.000371714303420756</v>
      </c>
      <c r="M6" s="0" t="n">
        <v>0.000825169481529605</v>
      </c>
      <c r="N6" s="0" t="n">
        <v>0.00428482804208847</v>
      </c>
      <c r="O6" s="0" t="n">
        <v>0.00181440520310896</v>
      </c>
      <c r="P6" s="0" t="s">
        <v>4</v>
      </c>
      <c r="Q6" s="0" t="n">
        <v>9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4</v>
      </c>
      <c r="D7" s="0" t="n">
        <v>5</v>
      </c>
      <c r="E7" s="0" t="n">
        <v>10</v>
      </c>
      <c r="F7" s="0" t="s">
        <v>17</v>
      </c>
      <c r="G7" s="0" t="s">
        <v>18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0.00033487770278684</v>
      </c>
      <c r="L7" s="0" t="n">
        <v>0.000371712099728669</v>
      </c>
      <c r="M7" s="0" t="n">
        <v>0.000825164554589593</v>
      </c>
      <c r="N7" s="0" t="n">
        <v>0.00428480198409422</v>
      </c>
      <c r="O7" s="0" t="n">
        <v>0.00181439416836532</v>
      </c>
      <c r="P7" s="0" t="s">
        <v>4</v>
      </c>
      <c r="Q7" s="0" t="n">
        <v>10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4</v>
      </c>
      <c r="D8" s="0" t="n">
        <v>5</v>
      </c>
      <c r="E8" s="0" t="n">
        <v>11</v>
      </c>
      <c r="F8" s="0" t="s">
        <v>17</v>
      </c>
      <c r="G8" s="0" t="s">
        <v>18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0.000334889608308297</v>
      </c>
      <c r="L8" s="0" t="n">
        <v>0.000371725003161565</v>
      </c>
      <c r="M8" s="0" t="n">
        <v>0.00082519319195825</v>
      </c>
      <c r="N8" s="0" t="n">
        <v>0.00428495480753355</v>
      </c>
      <c r="O8" s="0" t="n">
        <v>0.00181445786860741</v>
      </c>
      <c r="P8" s="0" t="s">
        <v>4</v>
      </c>
      <c r="Q8" s="0" t="n">
        <v>11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4</v>
      </c>
      <c r="D9" s="0" t="n">
        <v>5</v>
      </c>
      <c r="E9" s="0" t="n">
        <v>12</v>
      </c>
      <c r="F9" s="0" t="s">
        <v>17</v>
      </c>
      <c r="G9" s="0" t="s">
        <v>18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0.000334880921341263</v>
      </c>
      <c r="L9" s="0" t="n">
        <v>0.000371715503863416</v>
      </c>
      <c r="M9" s="0" t="n">
        <v>0.000825171966824375</v>
      </c>
      <c r="N9" s="0" t="n">
        <v>0.00428483863216363</v>
      </c>
      <c r="O9" s="0" t="n">
        <v>0.00181441104485167</v>
      </c>
      <c r="P9" s="0" t="s">
        <v>4</v>
      </c>
      <c r="Q9" s="0" t="n">
        <v>12</v>
      </c>
    </row>
    <row r="10" customFormat="false" ht="15" hidden="false" customHeight="false" outlineLevel="0" collapsed="false">
      <c r="A10" s="0" t="n">
        <v>250</v>
      </c>
      <c r="B10" s="0" t="n">
        <v>250</v>
      </c>
      <c r="C10" s="0" t="n">
        <v>4</v>
      </c>
      <c r="D10" s="0" t="n">
        <v>5</v>
      </c>
      <c r="E10" s="0" t="n">
        <v>13</v>
      </c>
      <c r="F10" s="0" t="s">
        <v>17</v>
      </c>
      <c r="G10" s="0" t="s">
        <v>18</v>
      </c>
      <c r="H10" s="0" t="s">
        <v>19</v>
      </c>
      <c r="I10" s="1" t="b">
        <f aca="false">FALSE()</f>
        <v>0</v>
      </c>
      <c r="J10" s="1" t="b">
        <f aca="false">TRUE()</f>
        <v>1</v>
      </c>
      <c r="K10" s="0" t="n">
        <v>0.000334881841337564</v>
      </c>
      <c r="L10" s="0" t="n">
        <v>0.000371716479373149</v>
      </c>
      <c r="M10" s="0" t="n">
        <v>0.000825174064949007</v>
      </c>
      <c r="N10" s="0" t="n">
        <v>0.00428485177785729</v>
      </c>
      <c r="O10" s="0" t="n">
        <v>0.00181441576752293</v>
      </c>
      <c r="P10" s="0" t="s">
        <v>4</v>
      </c>
      <c r="Q10" s="0" t="n">
        <v>13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5</v>
      </c>
      <c r="E11" s="0" t="n">
        <v>14</v>
      </c>
      <c r="F11" s="0" t="s">
        <v>17</v>
      </c>
      <c r="G11" s="0" t="s">
        <v>18</v>
      </c>
      <c r="H11" s="0" t="s">
        <v>19</v>
      </c>
      <c r="I11" s="1" t="b">
        <f aca="false">FALSE()</f>
        <v>0</v>
      </c>
      <c r="J11" s="1" t="b">
        <f aca="false">TRUE()</f>
        <v>1</v>
      </c>
      <c r="K11" s="0" t="n">
        <v>0.000334882586029095</v>
      </c>
      <c r="L11" s="0" t="n">
        <v>0.000371717655837521</v>
      </c>
      <c r="M11" s="0" t="n">
        <v>0.000825176643256441</v>
      </c>
      <c r="N11" s="0" t="n">
        <v>0.00428486586042391</v>
      </c>
      <c r="O11" s="0" t="n">
        <v>0.00181442155621624</v>
      </c>
      <c r="P11" s="0" t="s">
        <v>4</v>
      </c>
      <c r="Q11" s="0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22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0.000247805287619862</v>
      </c>
      <c r="L2" s="0" t="n">
        <v>0.000325854433701219</v>
      </c>
      <c r="M2" s="0" t="n">
        <v>0.00075077528442707</v>
      </c>
      <c r="N2" s="0" t="n">
        <v>0.00428487562616779</v>
      </c>
      <c r="O2" s="0" t="n">
        <v>0.00181814669937078</v>
      </c>
      <c r="P2" s="0" t="s">
        <v>23</v>
      </c>
      <c r="Q2" s="0" t="s">
        <v>22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4</v>
      </c>
      <c r="D3" s="0" t="n">
        <v>5</v>
      </c>
      <c r="E3" s="0" t="n">
        <v>5</v>
      </c>
      <c r="F3" s="0" t="s">
        <v>17</v>
      </c>
      <c r="G3" s="0" t="s">
        <v>24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0.000235354124779152</v>
      </c>
      <c r="L3" s="0" t="n">
        <v>0.000318156686143187</v>
      </c>
      <c r="M3" s="0" t="n">
        <v>0.000734812298796313</v>
      </c>
      <c r="N3" s="0" t="n">
        <v>0.00428487916360609</v>
      </c>
      <c r="O3" s="0" t="n">
        <v>0.00181807462633037</v>
      </c>
      <c r="P3" s="0" t="s">
        <v>23</v>
      </c>
      <c r="Q3" s="0" t="s">
        <v>24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4</v>
      </c>
      <c r="D4" s="0" t="n">
        <v>5</v>
      </c>
      <c r="E4" s="0" t="n">
        <v>5</v>
      </c>
      <c r="F4" s="0" t="s">
        <v>17</v>
      </c>
      <c r="G4" s="0" t="s">
        <v>25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0.000225811086862371</v>
      </c>
      <c r="L4" s="0" t="n">
        <v>0.00031079953900526</v>
      </c>
      <c r="M4" s="0" t="n">
        <v>0.000716570769067252</v>
      </c>
      <c r="N4" s="0" t="n">
        <v>0.0042848948178289</v>
      </c>
      <c r="O4" s="0" t="n">
        <v>0.00181724370858357</v>
      </c>
      <c r="P4" s="0" t="s">
        <v>23</v>
      </c>
      <c r="Q4" s="0" t="s">
        <v>25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4</v>
      </c>
      <c r="D5" s="0" t="n">
        <v>5</v>
      </c>
      <c r="E5" s="0" t="n">
        <v>5</v>
      </c>
      <c r="F5" s="0" t="s">
        <v>17</v>
      </c>
      <c r="G5" s="0" t="s">
        <v>26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0.000227170779850183</v>
      </c>
      <c r="L5" s="0" t="n">
        <v>0.00031211708982484</v>
      </c>
      <c r="M5" s="0" t="n">
        <v>0.000720173767976691</v>
      </c>
      <c r="N5" s="0" t="n">
        <v>0.00428490262614408</v>
      </c>
      <c r="O5" s="0" t="n">
        <v>0.00181651508369296</v>
      </c>
      <c r="P5" s="0" t="s">
        <v>23</v>
      </c>
      <c r="Q5" s="0" t="s">
        <v>26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4</v>
      </c>
      <c r="D6" s="0" t="n">
        <v>5</v>
      </c>
      <c r="E6" s="0" t="n">
        <v>5</v>
      </c>
      <c r="F6" s="0" t="s">
        <v>17</v>
      </c>
      <c r="G6" s="0" t="s">
        <v>27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0.000247807588060034</v>
      </c>
      <c r="L6" s="0" t="n">
        <v>0.000325857393565865</v>
      </c>
      <c r="M6" s="0" t="n">
        <v>0.000750782911982367</v>
      </c>
      <c r="N6" s="0" t="n">
        <v>0.0042849139914654</v>
      </c>
      <c r="O6" s="0" t="n">
        <v>0.00181508448819708</v>
      </c>
      <c r="P6" s="0" t="s">
        <v>23</v>
      </c>
      <c r="Q6" s="0" t="s">
        <v>27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4</v>
      </c>
      <c r="D7" s="0" t="n">
        <v>5</v>
      </c>
      <c r="E7" s="0" t="n">
        <v>5</v>
      </c>
      <c r="F7" s="0" t="s">
        <v>17</v>
      </c>
      <c r="G7" s="0" t="s">
        <v>28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0.000263727471143171</v>
      </c>
      <c r="L7" s="0" t="n">
        <v>0.000335156892222532</v>
      </c>
      <c r="M7" s="0" t="n">
        <v>0.000767867029423632</v>
      </c>
      <c r="N7" s="0" t="n">
        <v>0.00428491602975724</v>
      </c>
      <c r="O7" s="0" t="n">
        <v>0.00181478298236891</v>
      </c>
      <c r="P7" s="0" t="s">
        <v>23</v>
      </c>
      <c r="Q7" s="0" t="s">
        <v>28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4</v>
      </c>
      <c r="D8" s="0" t="n">
        <v>5</v>
      </c>
      <c r="E8" s="0" t="n">
        <v>5</v>
      </c>
      <c r="F8" s="0" t="s">
        <v>17</v>
      </c>
      <c r="G8" s="0" t="s">
        <v>29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0.00030054801517343</v>
      </c>
      <c r="L8" s="0" t="n">
        <v>0.000355424016617568</v>
      </c>
      <c r="M8" s="0" t="n">
        <v>0.000800925419888011</v>
      </c>
      <c r="N8" s="0" t="n">
        <v>0.00428491780483922</v>
      </c>
      <c r="O8" s="0" t="n">
        <v>0.00181450896073113</v>
      </c>
      <c r="P8" s="0" t="s">
        <v>23</v>
      </c>
      <c r="Q8" s="0" t="s">
        <v>29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4</v>
      </c>
      <c r="D9" s="0" t="n">
        <v>5</v>
      </c>
      <c r="E9" s="0" t="n">
        <v>5</v>
      </c>
      <c r="F9" s="0" t="s">
        <v>17</v>
      </c>
      <c r="G9" s="0" t="s">
        <v>30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0.000313395460196375</v>
      </c>
      <c r="L9" s="0" t="n">
        <v>0.000361909090753637</v>
      </c>
      <c r="M9" s="0" t="n">
        <v>0.000810786221405007</v>
      </c>
      <c r="N9" s="0" t="n">
        <v>0.00428491805190283</v>
      </c>
      <c r="O9" s="0" t="n">
        <v>0.00181447239133115</v>
      </c>
      <c r="P9" s="0" t="s">
        <v>23</v>
      </c>
      <c r="Q9" s="0" t="s">
        <v>30</v>
      </c>
    </row>
    <row r="10" customFormat="false" ht="15" hidden="false" customHeight="false" outlineLevel="0" collapsed="false">
      <c r="A10" s="0" t="n">
        <v>250</v>
      </c>
      <c r="B10" s="0" t="n">
        <v>250</v>
      </c>
      <c r="C10" s="0" t="n">
        <v>4</v>
      </c>
      <c r="D10" s="0" t="n">
        <v>5</v>
      </c>
      <c r="E10" s="0" t="n">
        <v>5</v>
      </c>
      <c r="F10" s="0" t="s">
        <v>17</v>
      </c>
      <c r="G10" s="0" t="s">
        <v>31</v>
      </c>
      <c r="H10" s="0" t="s">
        <v>19</v>
      </c>
      <c r="I10" s="1" t="b">
        <f aca="false">FALSE()</f>
        <v>0</v>
      </c>
      <c r="J10" s="1" t="b">
        <f aca="false">TRUE()</f>
        <v>1</v>
      </c>
      <c r="K10" s="0" t="n">
        <v>0.00033488672447668</v>
      </c>
      <c r="L10" s="0" t="n">
        <v>0.000371721964092241</v>
      </c>
      <c r="M10" s="0" t="n">
        <v>0.000825187352036081</v>
      </c>
      <c r="N10" s="0" t="n">
        <v>0.00428491822481845</v>
      </c>
      <c r="O10" s="0" t="n">
        <v>0.00181444273874566</v>
      </c>
      <c r="P10" s="0" t="s">
        <v>23</v>
      </c>
      <c r="Q10" s="0" t="s">
        <v>31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5</v>
      </c>
      <c r="E11" s="0" t="n">
        <v>5</v>
      </c>
      <c r="F11" s="0" t="s">
        <v>17</v>
      </c>
      <c r="G11" s="0" t="s">
        <v>32</v>
      </c>
      <c r="H11" s="0" t="s">
        <v>19</v>
      </c>
      <c r="I11" s="1" t="b">
        <f aca="false">FALSE()</f>
        <v>0</v>
      </c>
      <c r="J11" s="1" t="b">
        <f aca="false">TRUE()</f>
        <v>1</v>
      </c>
      <c r="K11" s="0" t="n">
        <v>0.000340958975737049</v>
      </c>
      <c r="L11" s="0" t="n">
        <v>0.00037423875707313</v>
      </c>
      <c r="M11" s="0" t="n">
        <v>0.00082875447576749</v>
      </c>
      <c r="N11" s="0" t="n">
        <v>0.00428491824220768</v>
      </c>
      <c r="O11" s="0" t="n">
        <v>0.00181443900356612</v>
      </c>
      <c r="P11" s="0" t="s">
        <v>23</v>
      </c>
      <c r="Q11" s="0" t="s">
        <v>32</v>
      </c>
    </row>
    <row r="12" customFormat="false" ht="15" hidden="false" customHeight="false" outlineLevel="0" collapsed="false">
      <c r="A12" s="0" t="n">
        <v>250</v>
      </c>
      <c r="B12" s="0" t="n">
        <v>250</v>
      </c>
      <c r="C12" s="0" t="n">
        <v>4</v>
      </c>
      <c r="D12" s="0" t="n">
        <v>5</v>
      </c>
      <c r="E12" s="0" t="n">
        <v>5</v>
      </c>
      <c r="F12" s="0" t="s">
        <v>17</v>
      </c>
      <c r="G12" s="0" t="s">
        <v>33</v>
      </c>
      <c r="H12" s="0" t="s">
        <v>19</v>
      </c>
      <c r="I12" s="1" t="b">
        <f aca="false">FALSE()</f>
        <v>0</v>
      </c>
      <c r="J12" s="1" t="b">
        <f aca="false">TRUE()</f>
        <v>1</v>
      </c>
      <c r="K12" s="0" t="n">
        <v>0.000350151539582844</v>
      </c>
      <c r="L12" s="0" t="n">
        <v>0.000377645151281041</v>
      </c>
      <c r="M12" s="0" t="n">
        <v>0.000833430239002687</v>
      </c>
      <c r="N12" s="0" t="n">
        <v>0.00428491820451617</v>
      </c>
      <c r="O12" s="0" t="n">
        <v>0.00181443600708733</v>
      </c>
      <c r="P12" s="0" t="s">
        <v>23</v>
      </c>
      <c r="Q12" s="0" t="s">
        <v>33</v>
      </c>
    </row>
    <row r="13" customFormat="false" ht="15" hidden="false" customHeight="false" outlineLevel="0" collapsed="false">
      <c r="A13" s="0" t="n">
        <v>250</v>
      </c>
      <c r="B13" s="0" t="n">
        <v>250</v>
      </c>
      <c r="C13" s="0" t="n">
        <v>4</v>
      </c>
      <c r="D13" s="0" t="n">
        <v>5</v>
      </c>
      <c r="E13" s="0" t="n">
        <v>5</v>
      </c>
      <c r="F13" s="0" t="s">
        <v>17</v>
      </c>
      <c r="G13" s="0" t="s">
        <v>34</v>
      </c>
      <c r="H13" s="0" t="s">
        <v>19</v>
      </c>
      <c r="I13" s="1" t="b">
        <f aca="false">FALSE()</f>
        <v>0</v>
      </c>
      <c r="J13" s="1" t="b">
        <f aca="false">TRUE()</f>
        <v>1</v>
      </c>
      <c r="K13" s="0" t="n">
        <v>0.000352492681928718</v>
      </c>
      <c r="L13" s="0" t="n">
        <v>0.000378412332847875</v>
      </c>
      <c r="M13" s="0" t="n">
        <v>0.000834450572573543</v>
      </c>
      <c r="N13" s="0" t="n">
        <v>0.0042849182778999</v>
      </c>
      <c r="O13" s="0" t="n">
        <v>0.00181443564679543</v>
      </c>
      <c r="P13" s="0" t="s">
        <v>23</v>
      </c>
      <c r="Q13" s="0" t="s">
        <v>34</v>
      </c>
    </row>
    <row r="14" customFormat="false" ht="15" hidden="false" customHeight="false" outlineLevel="0" collapsed="false">
      <c r="A14" s="0" t="n">
        <v>250</v>
      </c>
      <c r="B14" s="0" t="n">
        <v>250</v>
      </c>
      <c r="C14" s="0" t="n">
        <v>4</v>
      </c>
      <c r="D14" s="0" t="n">
        <v>5</v>
      </c>
      <c r="E14" s="0" t="n">
        <v>5</v>
      </c>
      <c r="F14" s="0" t="s">
        <v>17</v>
      </c>
      <c r="G14" s="0" t="s">
        <v>35</v>
      </c>
      <c r="H14" s="0" t="s">
        <v>19</v>
      </c>
      <c r="I14" s="1" t="b">
        <f aca="false">FALSE()</f>
        <v>0</v>
      </c>
      <c r="J14" s="1" t="b">
        <f aca="false">TRUE()</f>
        <v>1</v>
      </c>
      <c r="K14" s="0" t="n">
        <v>0.000355892274045533</v>
      </c>
      <c r="L14" s="0" t="n">
        <v>0.000379268700716307</v>
      </c>
      <c r="M14" s="0" t="n">
        <v>0.00083558238431717</v>
      </c>
      <c r="N14" s="0" t="n">
        <v>0.00428491827704845</v>
      </c>
      <c r="O14" s="0" t="n">
        <v>0.00181443534542003</v>
      </c>
      <c r="P14" s="0" t="s">
        <v>23</v>
      </c>
      <c r="Q14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36</v>
      </c>
      <c r="I2" s="1" t="b">
        <f aca="false">FALSE()</f>
        <v>0</v>
      </c>
      <c r="J2" s="1" t="b">
        <f aca="false">TRUE()</f>
        <v>1</v>
      </c>
      <c r="K2" s="0" t="n">
        <v>0.000334882907283118</v>
      </c>
      <c r="L2" s="0" t="n">
        <v>0.000371717811054269</v>
      </c>
      <c r="M2" s="0" t="n">
        <v>0.000825176897621825</v>
      </c>
      <c r="N2" s="0" t="n">
        <v>0.00428487143858899</v>
      </c>
      <c r="O2" s="0" t="n">
        <v>0.00181442263929431</v>
      </c>
      <c r="P2" s="0" t="s">
        <v>37</v>
      </c>
      <c r="Q2" s="0" t="s">
        <v>36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4</v>
      </c>
      <c r="D3" s="0" t="n">
        <v>5</v>
      </c>
      <c r="E3" s="0" t="n">
        <v>5</v>
      </c>
      <c r="F3" s="0" t="s">
        <v>17</v>
      </c>
      <c r="G3" s="0" t="s">
        <v>18</v>
      </c>
      <c r="H3" s="0" t="s">
        <v>38</v>
      </c>
      <c r="I3" s="1" t="b">
        <f aca="false">FALSE()</f>
        <v>0</v>
      </c>
      <c r="J3" s="1" t="b">
        <f aca="false">TRUE()</f>
        <v>1</v>
      </c>
      <c r="K3" s="0" t="n">
        <v>0.000229636308593906</v>
      </c>
      <c r="L3" s="0" t="n">
        <v>0.000314147197962817</v>
      </c>
      <c r="M3" s="0" t="n">
        <v>0.000568728805048661</v>
      </c>
      <c r="N3" s="0" t="n">
        <v>0.00428488327201456</v>
      </c>
      <c r="O3" s="0" t="n">
        <v>0.00181442770947026</v>
      </c>
      <c r="P3" s="0" t="s">
        <v>37</v>
      </c>
      <c r="Q3" s="0" t="s">
        <v>38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4</v>
      </c>
      <c r="D4" s="0" t="n">
        <v>5</v>
      </c>
      <c r="E4" s="0" t="n">
        <v>5</v>
      </c>
      <c r="F4" s="0" t="s">
        <v>17</v>
      </c>
      <c r="G4" s="0" t="s">
        <v>18</v>
      </c>
      <c r="H4" s="0" t="s">
        <v>39</v>
      </c>
      <c r="I4" s="1" t="b">
        <f aca="false">FALSE()</f>
        <v>0</v>
      </c>
      <c r="J4" s="1" t="b">
        <f aca="false">TRUE()</f>
        <v>1</v>
      </c>
      <c r="K4" s="0" t="n">
        <v>0.000225811094447581</v>
      </c>
      <c r="L4" s="0" t="n">
        <v>0.000310799549506606</v>
      </c>
      <c r="M4" s="0" t="n">
        <v>0.000546001136024387</v>
      </c>
      <c r="N4" s="0" t="n">
        <v>0.00428489496370069</v>
      </c>
      <c r="O4" s="0" t="n">
        <v>0.00181443274512271</v>
      </c>
      <c r="P4" s="0" t="s">
        <v>37</v>
      </c>
      <c r="Q4" s="0" t="s">
        <v>39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4</v>
      </c>
      <c r="D5" s="0" t="n">
        <v>5</v>
      </c>
      <c r="E5" s="0" t="n">
        <v>5</v>
      </c>
      <c r="F5" s="0" t="s">
        <v>17</v>
      </c>
      <c r="G5" s="0" t="s">
        <v>18</v>
      </c>
      <c r="H5" s="0" t="s">
        <v>40</v>
      </c>
      <c r="I5" s="1" t="b">
        <f aca="false">FALSE()</f>
        <v>0</v>
      </c>
      <c r="J5" s="1" t="b">
        <f aca="false">TRUE()</f>
        <v>1</v>
      </c>
      <c r="K5" s="0" t="n">
        <v>0.000229637603959443</v>
      </c>
      <c r="L5" s="0" t="n">
        <v>0.000314148931759266</v>
      </c>
      <c r="M5" s="0" t="n">
        <v>0.000568732172599473</v>
      </c>
      <c r="N5" s="0" t="n">
        <v>0.00428490661722621</v>
      </c>
      <c r="O5" s="0" t="n">
        <v>0.00181443776585896</v>
      </c>
      <c r="P5" s="0" t="s">
        <v>37</v>
      </c>
      <c r="Q5" s="0" t="s">
        <v>40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4</v>
      </c>
      <c r="D6" s="0" t="n">
        <v>5</v>
      </c>
      <c r="E6" s="0" t="n">
        <v>5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0.00033488672447668</v>
      </c>
      <c r="L6" s="0" t="n">
        <v>0.000371721964092241</v>
      </c>
      <c r="M6" s="0" t="n">
        <v>0.000825187352036081</v>
      </c>
      <c r="N6" s="0" t="n">
        <v>0.00428491822481845</v>
      </c>
      <c r="O6" s="0" t="n">
        <v>0.00181444273874566</v>
      </c>
      <c r="P6" s="0" t="s">
        <v>37</v>
      </c>
      <c r="Q6" s="0" t="s">
        <v>19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4</v>
      </c>
      <c r="D7" s="0" t="n">
        <v>5</v>
      </c>
      <c r="E7" s="0" t="n">
        <v>5</v>
      </c>
      <c r="F7" s="0" t="s">
        <v>17</v>
      </c>
      <c r="G7" s="0" t="s">
        <v>18</v>
      </c>
      <c r="H7" s="0" t="s">
        <v>41</v>
      </c>
      <c r="I7" s="1" t="b">
        <f aca="false">FALSE()</f>
        <v>0</v>
      </c>
      <c r="J7" s="1" t="b">
        <f aca="false">TRUE()</f>
        <v>1</v>
      </c>
      <c r="K7" s="0" t="n">
        <v>0.000229637591492193</v>
      </c>
      <c r="L7" s="0" t="n">
        <v>0.000314148914617143</v>
      </c>
      <c r="M7" s="0" t="n">
        <v>0.00121525595457002</v>
      </c>
      <c r="N7" s="0" t="n">
        <v>0.00428490638099382</v>
      </c>
      <c r="O7" s="0" t="n">
        <v>0.00181443766244772</v>
      </c>
      <c r="P7" s="0" t="s">
        <v>37</v>
      </c>
      <c r="Q7" s="0" t="s">
        <v>41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4</v>
      </c>
      <c r="D8" s="0" t="n">
        <v>5</v>
      </c>
      <c r="E8" s="0" t="n">
        <v>5</v>
      </c>
      <c r="F8" s="0" t="s">
        <v>17</v>
      </c>
      <c r="G8" s="0" t="s">
        <v>18</v>
      </c>
      <c r="H8" s="0" t="s">
        <v>42</v>
      </c>
      <c r="I8" s="1" t="b">
        <f aca="false">FALSE()</f>
        <v>0</v>
      </c>
      <c r="J8" s="1" t="b">
        <f aca="false">TRUE()</f>
        <v>1</v>
      </c>
      <c r="K8" s="0" t="n">
        <v>0.000225811080391436</v>
      </c>
      <c r="L8" s="0" t="n">
        <v>0.000310799530104205</v>
      </c>
      <c r="M8" s="0" t="n">
        <v>0.00141860182540787</v>
      </c>
      <c r="N8" s="0" t="n">
        <v>0.00428489465841576</v>
      </c>
      <c r="O8" s="0" t="n">
        <v>0.00181443262694356</v>
      </c>
      <c r="P8" s="0" t="s">
        <v>37</v>
      </c>
      <c r="Q8" s="0" t="s">
        <v>42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4</v>
      </c>
      <c r="D9" s="0" t="n">
        <v>5</v>
      </c>
      <c r="E9" s="0" t="n">
        <v>5</v>
      </c>
      <c r="F9" s="0" t="s">
        <v>17</v>
      </c>
      <c r="G9" s="0" t="s">
        <v>18</v>
      </c>
      <c r="H9" s="0" t="s">
        <v>43</v>
      </c>
      <c r="I9" s="1" t="b">
        <f aca="false">FALSE()</f>
        <v>0</v>
      </c>
      <c r="J9" s="1" t="b">
        <f aca="false">TRUE()</f>
        <v>1</v>
      </c>
      <c r="K9" s="0" t="n">
        <v>0.000229636296090407</v>
      </c>
      <c r="L9" s="0" t="n">
        <v>0.000314147180885629</v>
      </c>
      <c r="M9" s="0" t="n">
        <v>0.00121524692412604</v>
      </c>
      <c r="N9" s="0" t="n">
        <v>0.00428488303941651</v>
      </c>
      <c r="O9" s="0" t="n">
        <v>0.00181442760691177</v>
      </c>
      <c r="P9" s="0" t="s">
        <v>37</v>
      </c>
      <c r="Q9" s="0" t="s">
        <v>43</v>
      </c>
    </row>
    <row r="10" customFormat="false" ht="15" hidden="false" customHeight="false" outlineLevel="0" collapsed="false">
      <c r="A10" s="0" t="n">
        <v>250</v>
      </c>
      <c r="B10" s="0" t="n">
        <v>250</v>
      </c>
      <c r="C10" s="0" t="n">
        <v>4</v>
      </c>
      <c r="D10" s="0" t="n">
        <v>5</v>
      </c>
      <c r="E10" s="0" t="n">
        <v>5</v>
      </c>
      <c r="F10" s="0" t="s">
        <v>17</v>
      </c>
      <c r="G10" s="0" t="s">
        <v>18</v>
      </c>
      <c r="H10" s="0" t="s">
        <v>44</v>
      </c>
      <c r="I10" s="1" t="b">
        <f aca="false">FALSE()</f>
        <v>0</v>
      </c>
      <c r="J10" s="1" t="b">
        <f aca="false">TRUE()</f>
        <v>1</v>
      </c>
      <c r="K10" s="0" t="n">
        <v>0.000334882907283118</v>
      </c>
      <c r="L10" s="0" t="n">
        <v>0.000371717811054269</v>
      </c>
      <c r="M10" s="0" t="n">
        <v>0.000825176897621825</v>
      </c>
      <c r="N10" s="0" t="n">
        <v>0.00428487143858899</v>
      </c>
      <c r="O10" s="0" t="n">
        <v>0.00181442263929431</v>
      </c>
      <c r="P10" s="0" t="s">
        <v>37</v>
      </c>
      <c r="Q10" s="0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2026-07-20T18:57:43Z</dcterms:created>
  <dc:creator>openpyxl</dc:creator>
  <dc:description/>
  <dc:language>en-US</dc:language>
  <cp:lastModifiedBy/>
  <dcterms:modified xsi:type="dcterms:W3CDTF">2026-07-21T02:57:31Z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