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Z:\Users\zeonv\Documents\Projects\RBF-FD-Elliptic\Results\results_7-17-26(gaussian)\files\"/>
    </mc:Choice>
  </mc:AlternateContent>
  <xr:revisionPtr revIDLastSave="0" documentId="13_ncr:1_{43581643-1874-47C9-9DD9-742A7B7F6B2B}" xr6:coauthVersionLast="47" xr6:coauthVersionMax="47" xr10:uidLastSave="{00000000-0000-0000-0000-000000000000}"/>
  <bookViews>
    <workbookView xWindow="22932" yWindow="-108" windowWidth="23256" windowHeight="12456" tabRatio="500" xr2:uid="{00000000-000D-0000-FFFF-FFFF00000000}"/>
  </bookViews>
  <sheets>
    <sheet name="Grid Size" sheetId="1" r:id="rId1"/>
    <sheet name="Length Scale" sheetId="2" r:id="rId2"/>
    <sheet name="Stencil Nodes" sheetId="3" r:id="rId3"/>
    <sheet name="Center Rings" sheetId="4" r:id="rId4"/>
    <sheet name="Eigenvalue Ratio" sheetId="5" r:id="rId5"/>
    <sheet name="Eigenvector Angl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" i="6" l="1"/>
  <c r="I10" i="6"/>
  <c r="J9" i="6"/>
  <c r="I9" i="6"/>
  <c r="J8" i="6"/>
  <c r="I8" i="6"/>
  <c r="J7" i="6"/>
  <c r="I7" i="6"/>
  <c r="J6" i="6"/>
  <c r="I6" i="6"/>
  <c r="J5" i="6"/>
  <c r="I5" i="6"/>
  <c r="J4" i="6"/>
  <c r="I4" i="6"/>
  <c r="J3" i="6"/>
  <c r="I3" i="6"/>
  <c r="J2" i="6"/>
  <c r="I2" i="6"/>
  <c r="J14" i="5"/>
  <c r="I14" i="5"/>
  <c r="J13" i="5"/>
  <c r="I13" i="5"/>
  <c r="J12" i="5"/>
  <c r="I12" i="5"/>
  <c r="J11" i="5"/>
  <c r="I11" i="5"/>
  <c r="J10" i="5"/>
  <c r="I10" i="5"/>
  <c r="J9" i="5"/>
  <c r="I9" i="5"/>
  <c r="J8" i="5"/>
  <c r="I8" i="5"/>
  <c r="J7" i="5"/>
  <c r="I7" i="5"/>
  <c r="J6" i="5"/>
  <c r="I6" i="5"/>
  <c r="J5" i="5"/>
  <c r="I5" i="5"/>
  <c r="J4" i="5"/>
  <c r="I4" i="5"/>
  <c r="J3" i="5"/>
  <c r="I3" i="5"/>
  <c r="J2" i="5"/>
  <c r="I2" i="5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J3" i="4"/>
  <c r="I3" i="4"/>
  <c r="J2" i="4"/>
  <c r="I2" i="4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  <c r="J3" i="2"/>
  <c r="I3" i="2"/>
  <c r="J2" i="2"/>
  <c r="I2" i="2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<sst xmlns="http://schemas.openxmlformats.org/spreadsheetml/2006/main" count="396" uniqueCount="45">
  <si>
    <t>Nx</t>
  </si>
  <si>
    <t>Ny</t>
  </si>
  <si>
    <t>eps</t>
  </si>
  <si>
    <t>num_stencil_nodes</t>
  </si>
  <si>
    <t>num_rings</t>
  </si>
  <si>
    <t>eigenvalue 1</t>
  </si>
  <si>
    <t>eigenvalue 2</t>
  </si>
  <si>
    <t>radian = r/24</t>
  </si>
  <si>
    <t>augmentation</t>
  </si>
  <si>
    <t>sparse</t>
  </si>
  <si>
    <t>u_exact - u max_error_rel</t>
  </si>
  <si>
    <t>u_exact - u l2_error_rel</t>
  </si>
  <si>
    <t>energy_error_rel</t>
  </si>
  <si>
    <t>Lu_exact - F max_residual_rel</t>
  </si>
  <si>
    <t>Lu_exact - F l2_residual_rel</t>
  </si>
  <si>
    <t>varied_param</t>
  </si>
  <si>
    <t>varied_value</t>
  </si>
  <si>
    <t>lambda p: 1e0</t>
  </si>
  <si>
    <t>lambda p: 1e-3</t>
  </si>
  <si>
    <t>lambda p: 12.0/24.0*np.pi</t>
  </si>
  <si>
    <t>N_int</t>
  </si>
  <si>
    <t>Inverse Length Scale</t>
  </si>
  <si>
    <t>lambda p: 10.0</t>
  </si>
  <si>
    <t>eig_2</t>
  </si>
  <si>
    <t>lambda p: 5.0</t>
  </si>
  <si>
    <t>lambda p: 1.0</t>
  </si>
  <si>
    <t>lambda p: 0.5</t>
  </si>
  <si>
    <t>lambda p: 0.1</t>
  </si>
  <si>
    <t>lambda p: 0.05</t>
  </si>
  <si>
    <t>lambda p: 0.01</t>
  </si>
  <si>
    <t>lambda p: 0.005</t>
  </si>
  <si>
    <t>lambda p: 0.001</t>
  </si>
  <si>
    <t>lambda p: 0.0005</t>
  </si>
  <si>
    <t>lambda p: 0.0001</t>
  </si>
  <si>
    <t>lambda p: 5e-05</t>
  </si>
  <si>
    <t>lambda p: 1e-05</t>
  </si>
  <si>
    <t>lambda p: 0.0/24.0*np.pi</t>
  </si>
  <si>
    <t>angle</t>
  </si>
  <si>
    <t>lambda p: 4.0/24.0*np.pi</t>
  </si>
  <si>
    <t>lambda p: 6.0/24.0*np.pi</t>
  </si>
  <si>
    <t>lambda p: 8.0/24.0*np.pi</t>
  </si>
  <si>
    <t>lambda p: 16.0/24.0*np.pi</t>
  </si>
  <si>
    <t>lambda p: 18.0/24.0*np.pi</t>
  </si>
  <si>
    <t>lambda p: 20.0/24.0*np.pi</t>
  </si>
  <si>
    <t>lambda p: 24.0/24.0*np.pi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</si>
</sst>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eps=4, nodes=5, center rings=5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'Grid Size'!$K$1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Size'!$K$2:$K$14</c:f>
              <c:numCache>
                <c:formatCode>General</c:formatCode>
                <c:ptCount val="13"/>
                <c:pt idx="0">
                  <c:v>2.5948769596669499E-2</c:v>
                </c:pt>
                <c:pt idx="1">
                  <c:v>1.19703234769257E-2</c:v>
                </c:pt>
                <c:pt idx="2">
                  <c:v>4.4406052093512501E-3</c:v>
                </c:pt>
                <c:pt idx="3">
                  <c:v>2.0055356621710599E-3</c:v>
                </c:pt>
                <c:pt idx="4">
                  <c:v>1.1357936952123299E-3</c:v>
                </c:pt>
                <c:pt idx="5">
                  <c:v>7.2945748480499105E-4</c:v>
                </c:pt>
                <c:pt idx="6">
                  <c:v>5.0765466208673999E-4</c:v>
                </c:pt>
                <c:pt idx="7">
                  <c:v>3.7373206053450102E-4</c:v>
                </c:pt>
                <c:pt idx="8">
                  <c:v>2.8656390411139999E-4</c:v>
                </c:pt>
                <c:pt idx="9">
                  <c:v>1.8375504906717699E-4</c:v>
                </c:pt>
                <c:pt idx="10">
                  <c:v>1.2778464472346701E-4</c:v>
                </c:pt>
                <c:pt idx="11">
                  <c:v>4.6096548457771902E-5</c:v>
                </c:pt>
                <c:pt idx="12">
                  <c:v>2.0863506162485901E-5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AD-44A3-8644-2A80FDCC1FD9}"/>
            </c:ext>
          </c:extLst>
        </c:ser>
        <c:ser>
          <c:idx val="1"/>
          <c:order val="1"/>
          <c:tx>
            <c:strRef>
              <c:f>'Grid Size'!$L$1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Size'!$L$2:$L$14</c:f>
              <c:numCache>
                <c:formatCode>General</c:formatCode>
                <c:ptCount val="13"/>
                <c:pt idx="0">
                  <c:v>2.3776416500036899E-2</c:v>
                </c:pt>
                <c:pt idx="1">
                  <c:v>1.09591978251372E-2</c:v>
                </c:pt>
                <c:pt idx="2">
                  <c:v>4.0578043284887604E-3</c:v>
                </c:pt>
                <c:pt idx="3">
                  <c:v>1.8284775000316201E-3</c:v>
                </c:pt>
                <c:pt idx="4">
                  <c:v>1.03555656359563E-3</c:v>
                </c:pt>
                <c:pt idx="5">
                  <c:v>6.6546008601263103E-4</c:v>
                </c:pt>
                <c:pt idx="6">
                  <c:v>4.6337711126478602E-4</c:v>
                </c:pt>
                <c:pt idx="7">
                  <c:v>3.4109858108812002E-4</c:v>
                </c:pt>
                <c:pt idx="8">
                  <c:v>2.6152697272480499E-4</c:v>
                </c:pt>
                <c:pt idx="9">
                  <c:v>1.6771311405714499E-4</c:v>
                </c:pt>
                <c:pt idx="10">
                  <c:v>1.16623298644929E-4</c:v>
                </c:pt>
                <c:pt idx="11">
                  <c:v>4.2069444378068197E-5</c:v>
                </c:pt>
                <c:pt idx="12">
                  <c:v>1.9048622889499001E-5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AD-44A3-8644-2A80FDCC1FD9}"/>
            </c:ext>
          </c:extLst>
        </c:ser>
        <c:ser>
          <c:idx val="2"/>
          <c:order val="2"/>
          <c:tx>
            <c:strRef>
              <c:f>'Grid Size'!$M$1</c:f>
              <c:strCache>
                <c:ptCount val="1"/>
                <c:pt idx="0">
                  <c:v>energy_error_rel</c:v>
                </c:pt>
              </c:strCache>
            </c:strRef>
          </c:tx>
          <c:spPr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Size'!$M$2:$M$14</c:f>
              <c:numCache>
                <c:formatCode>General</c:formatCode>
                <c:ptCount val="13"/>
                <c:pt idx="0">
                  <c:v>2.3044715212694099E-2</c:v>
                </c:pt>
                <c:pt idx="1">
                  <c:v>1.06151287892943E-2</c:v>
                </c:pt>
                <c:pt idx="2">
                  <c:v>3.9283178853342796E-3</c:v>
                </c:pt>
                <c:pt idx="3">
                  <c:v>1.7698430231340499E-3</c:v>
                </c:pt>
                <c:pt idx="4">
                  <c:v>1.0022933789639299E-3</c:v>
                </c:pt>
                <c:pt idx="5">
                  <c:v>6.4407025280631804E-4</c:v>
                </c:pt>
                <c:pt idx="6">
                  <c:v>4.4847740636939898E-4</c:v>
                </c:pt>
                <c:pt idx="7">
                  <c:v>3.3012830557119601E-4</c:v>
                </c:pt>
                <c:pt idx="8">
                  <c:v>2.5311465724429699E-4</c:v>
                </c:pt>
                <c:pt idx="9">
                  <c:v>1.62317495392564E-4</c:v>
                </c:pt>
                <c:pt idx="10">
                  <c:v>1.12870961325473E-4</c:v>
                </c:pt>
                <c:pt idx="11">
                  <c:v>4.0716553879546599E-5</c:v>
                </c:pt>
                <c:pt idx="12">
                  <c:v>1.8425456298084699E-5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AD-44A3-8644-2A80FDCC1FD9}"/>
            </c:ext>
          </c:extLst>
        </c:ser>
        <c:ser>
          <c:idx val="3"/>
          <c:order val="3"/>
          <c:tx>
            <c:strRef>
              <c:f>'Grid Size'!$N$1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Size'!$N$2:$N$14</c:f>
              <c:numCache>
                <c:formatCode>General</c:formatCode>
                <c:ptCount val="13"/>
                <c:pt idx="0">
                  <c:v>1.52758227817162E-2</c:v>
                </c:pt>
                <c:pt idx="1">
                  <c:v>7.0224957018244398E-3</c:v>
                </c:pt>
                <c:pt idx="2">
                  <c:v>2.6069394391808501E-3</c:v>
                </c:pt>
                <c:pt idx="3">
                  <c:v>1.17439221676503E-3</c:v>
                </c:pt>
                <c:pt idx="4">
                  <c:v>6.6570249494188501E-4</c:v>
                </c:pt>
                <c:pt idx="5">
                  <c:v>4.2785341247954999E-4</c:v>
                </c:pt>
                <c:pt idx="6">
                  <c:v>2.9801354721814999E-4</c:v>
                </c:pt>
                <c:pt idx="7">
                  <c:v>2.1935962160037599E-4</c:v>
                </c:pt>
                <c:pt idx="8">
                  <c:v>1.68229932801213E-4</c:v>
                </c:pt>
                <c:pt idx="9">
                  <c:v>1.0788945539040699E-4</c:v>
                </c:pt>
                <c:pt idx="10">
                  <c:v>7.5025634237009206E-5</c:v>
                </c:pt>
                <c:pt idx="11">
                  <c:v>2.7068064391597302E-5</c:v>
                </c:pt>
                <c:pt idx="12">
                  <c:v>1.2201302468359801E-5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AD-44A3-8644-2A80FDCC1FD9}"/>
            </c:ext>
          </c:extLst>
        </c:ser>
        <c:ser>
          <c:idx val="4"/>
          <c:order val="4"/>
          <c:tx>
            <c:strRef>
              <c:f>'Grid Size'!$O$1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Size'!$O$2:$O$14</c:f>
              <c:numCache>
                <c:formatCode>General</c:formatCode>
                <c:ptCount val="13"/>
                <c:pt idx="0">
                  <c:v>1.88110742149167E-2</c:v>
                </c:pt>
                <c:pt idx="1">
                  <c:v>8.7606830241182092E-3</c:v>
                </c:pt>
                <c:pt idx="2">
                  <c:v>3.2621729934316098E-3</c:v>
                </c:pt>
                <c:pt idx="3">
                  <c:v>1.47266760761233E-3</c:v>
                </c:pt>
                <c:pt idx="4">
                  <c:v>8.3459133755955201E-4</c:v>
                </c:pt>
                <c:pt idx="5">
                  <c:v>5.3648193083342098E-4</c:v>
                </c:pt>
                <c:pt idx="6">
                  <c:v>3.7362879301992E-4</c:v>
                </c:pt>
                <c:pt idx="7">
                  <c:v>2.7506114682029702E-4</c:v>
                </c:pt>
                <c:pt idx="8">
                  <c:v>2.1090952449691699E-4</c:v>
                </c:pt>
                <c:pt idx="9">
                  <c:v>1.3526395520307801E-4</c:v>
                </c:pt>
                <c:pt idx="10">
                  <c:v>9.4063020678025505E-5</c:v>
                </c:pt>
                <c:pt idx="11">
                  <c:v>3.3939202233137898E-5</c:v>
                </c:pt>
                <c:pt idx="12">
                  <c:v>1.5297567317739999E-5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AD-44A3-8644-2A80FDCC1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47627"/>
        <c:axId val="53629172"/>
      </c:scatterChart>
      <c:valAx>
        <c:axId val="5594762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629172"/>
        <c:crosses val="autoZero"/>
        <c:crossBetween val="midCat"/>
      </c:valAx>
      <c:valAx>
        <c:axId val="5362917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94762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'Length Scale'!$K$1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4212.6925709349698</c:v>
                </c:pt>
                <c:pt idx="1">
                  <c:v>1052.2901732764999</c:v>
                </c:pt>
                <c:pt idx="2">
                  <c:v>1.8723799887331E-4</c:v>
                </c:pt>
                <c:pt idx="3">
                  <c:v>1.25018499930956E-5</c:v>
                </c:pt>
                <c:pt idx="4">
                  <c:v>2.8664684767300899E-5</c:v>
                </c:pt>
                <c:pt idx="5">
                  <c:v>2.57054072689431E-5</c:v>
                </c:pt>
                <c:pt idx="6">
                  <c:v>1.47122533388558E-6</c:v>
                </c:pt>
                <c:pt idx="7">
                  <c:v>6.5413384269804404E-5</c:v>
                </c:pt>
                <c:pt idx="8">
                  <c:v>1.8375504906717699E-4</c:v>
                </c:pt>
                <c:pt idx="9">
                  <c:v>6.6069214895946504E-4</c:v>
                </c:pt>
                <c:pt idx="10">
                  <c:v>4.4439948988569599E-3</c:v>
                </c:pt>
                <c:pt idx="11">
                  <c:v>1.54769115201677E-2</c:v>
                </c:pt>
                <c:pt idx="12">
                  <c:v>8.9155350812837805E-2</c:v>
                </c:pt>
                <c:pt idx="13">
                  <c:v>0.35284030511297898</c:v>
                </c:pt>
                <c:pt idx="14">
                  <c:v>4.9376817417555499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88-4C1A-90D6-1542FAEC09E7}"/>
            </c:ext>
          </c:extLst>
        </c:ser>
        <c:ser>
          <c:idx val="1"/>
          <c:order val="1"/>
          <c:tx>
            <c:strRef>
              <c:f>'Length Scale'!$L$1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2796.4359111246699</c:v>
                </c:pt>
                <c:pt idx="1">
                  <c:v>698.52311332089903</c:v>
                </c:pt>
                <c:pt idx="2">
                  <c:v>1.6187843526308299E-4</c:v>
                </c:pt>
                <c:pt idx="3">
                  <c:v>1.1356726679732201E-5</c:v>
                </c:pt>
                <c:pt idx="4">
                  <c:v>2.4474646372373299E-5</c:v>
                </c:pt>
                <c:pt idx="5">
                  <c:v>2.28791319847678E-5</c:v>
                </c:pt>
                <c:pt idx="6">
                  <c:v>1.2563302333916501E-6</c:v>
                </c:pt>
                <c:pt idx="7">
                  <c:v>5.8857945340916302E-5</c:v>
                </c:pt>
                <c:pt idx="8">
                  <c:v>1.6771311405714499E-4</c:v>
                </c:pt>
                <c:pt idx="9">
                  <c:v>6.1106337194465705E-4</c:v>
                </c:pt>
                <c:pt idx="10">
                  <c:v>4.1595938270858803E-3</c:v>
                </c:pt>
                <c:pt idx="11">
                  <c:v>1.44939298044702E-2</c:v>
                </c:pt>
                <c:pt idx="12">
                  <c:v>8.3072615669079003E-2</c:v>
                </c:pt>
                <c:pt idx="13">
                  <c:v>0.32870163768949501</c:v>
                </c:pt>
                <c:pt idx="14">
                  <c:v>4.6262968828941204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88-4C1A-90D6-1542FAEC09E7}"/>
            </c:ext>
          </c:extLst>
        </c:ser>
        <c:ser>
          <c:idx val="2"/>
          <c:order val="2"/>
          <c:tx>
            <c:strRef>
              <c:f>'Length Scale'!$M$1</c:f>
              <c:strCache>
                <c:ptCount val="1"/>
                <c:pt idx="0">
                  <c:v>energy_error_rel</c:v>
                </c:pt>
              </c:strCache>
            </c:strRef>
          </c:tx>
          <c:spPr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5943.0452970958404</c:v>
                </c:pt>
                <c:pt idx="1">
                  <c:v>1485.3099096224901</c:v>
                </c:pt>
                <c:pt idx="2">
                  <c:v>1.59330697619035E-4</c:v>
                </c:pt>
                <c:pt idx="3">
                  <c:v>3.2288228354860303E-5</c:v>
                </c:pt>
                <c:pt idx="4">
                  <c:v>2.8893809796398699E-5</c:v>
                </c:pt>
                <c:pt idx="5">
                  <c:v>2.31034720757351E-5</c:v>
                </c:pt>
                <c:pt idx="6">
                  <c:v>3.4687036428205998E-6</c:v>
                </c:pt>
                <c:pt idx="7">
                  <c:v>5.8128927500658297E-5</c:v>
                </c:pt>
                <c:pt idx="8">
                  <c:v>1.62317495392564E-4</c:v>
                </c:pt>
                <c:pt idx="9">
                  <c:v>5.8523870323137599E-4</c:v>
                </c:pt>
                <c:pt idx="10">
                  <c:v>3.9696677612303796E-3</c:v>
                </c:pt>
                <c:pt idx="11">
                  <c:v>1.38307419797604E-2</c:v>
                </c:pt>
                <c:pt idx="12">
                  <c:v>7.9287485336767299E-2</c:v>
                </c:pt>
                <c:pt idx="13">
                  <c:v>0.31372848708718798</c:v>
                </c:pt>
                <c:pt idx="14">
                  <c:v>4.4147375150848598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88-4C1A-90D6-1542FAEC09E7}"/>
            </c:ext>
          </c:extLst>
        </c:ser>
        <c:ser>
          <c:idx val="3"/>
          <c:order val="3"/>
          <c:tx>
            <c:strRef>
              <c:f>'Length Scale'!$N$1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0.99972062315032295</c:v>
                </c:pt>
                <c:pt idx="1">
                  <c:v>0.99888249257349904</c:v>
                </c:pt>
                <c:pt idx="2">
                  <c:v>1.4642502687547301E-4</c:v>
                </c:pt>
                <c:pt idx="3">
                  <c:v>5.1063060332923E-5</c:v>
                </c:pt>
                <c:pt idx="4">
                  <c:v>3.4596369326093097E-5</c:v>
                </c:pt>
                <c:pt idx="5">
                  <c:v>1.8761690293553399E-5</c:v>
                </c:pt>
                <c:pt idx="6">
                  <c:v>5.5254612909443196E-6</c:v>
                </c:pt>
                <c:pt idx="7">
                  <c:v>4.2860594747898303E-5</c:v>
                </c:pt>
                <c:pt idx="8">
                  <c:v>1.0788945539040699E-4</c:v>
                </c:pt>
                <c:pt idx="9">
                  <c:v>3.49993463956789E-4</c:v>
                </c:pt>
                <c:pt idx="10">
                  <c:v>2.1369970232515199E-3</c:v>
                </c:pt>
                <c:pt idx="11">
                  <c:v>7.3463570649853803E-3</c:v>
                </c:pt>
                <c:pt idx="12">
                  <c:v>4.1366337392745103E-2</c:v>
                </c:pt>
                <c:pt idx="13">
                  <c:v>0.13543882928382101</c:v>
                </c:pt>
                <c:pt idx="14">
                  <c:v>0.70187103675585905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88-4C1A-90D6-1542FAEC09E7}"/>
            </c:ext>
          </c:extLst>
        </c:ser>
        <c:ser>
          <c:idx val="4"/>
          <c:order val="4"/>
          <c:tx>
            <c:strRef>
              <c:f>'Length Scale'!$O$1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0.99972064803402405</c:v>
                </c:pt>
                <c:pt idx="1">
                  <c:v>0.99888289104672701</c:v>
                </c:pt>
                <c:pt idx="2">
                  <c:v>1.4724768870888E-4</c:v>
                </c:pt>
                <c:pt idx="3">
                  <c:v>7.1899930685316503E-5</c:v>
                </c:pt>
                <c:pt idx="4">
                  <c:v>4.3593598015531098E-5</c:v>
                </c:pt>
                <c:pt idx="5">
                  <c:v>2.4091097918769102E-5</c:v>
                </c:pt>
                <c:pt idx="6">
                  <c:v>7.6987075668383299E-6</c:v>
                </c:pt>
                <c:pt idx="7">
                  <c:v>5.4713003002671099E-5</c:v>
                </c:pt>
                <c:pt idx="8">
                  <c:v>1.3526395520307801E-4</c:v>
                </c:pt>
                <c:pt idx="9">
                  <c:v>4.50194059073019E-4</c:v>
                </c:pt>
                <c:pt idx="10">
                  <c:v>2.9510425138897199E-3</c:v>
                </c:pt>
                <c:pt idx="11">
                  <c:v>1.01671515768422E-2</c:v>
                </c:pt>
                <c:pt idx="12">
                  <c:v>5.46908242329349E-2</c:v>
                </c:pt>
                <c:pt idx="13">
                  <c:v>0.17645547815648399</c:v>
                </c:pt>
                <c:pt idx="14">
                  <c:v>0.90524783514351104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88-4C1A-90D6-1542FAEC0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87243"/>
        <c:axId val="75866329"/>
      </c:scatterChart>
      <c:valAx>
        <c:axId val="424872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866329"/>
        <c:crosses val="autoZero"/>
        <c:crossBetween val="midCat"/>
      </c:valAx>
      <c:valAx>
        <c:axId val="7586632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48724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'Stencil Nodes'!$K$1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Nodes'!$K$2:$K$9</c:f>
              <c:numCache>
                <c:formatCode>General</c:formatCode>
                <c:ptCount val="8"/>
                <c:pt idx="0">
                  <c:v>1.8375504906717699E-4</c:v>
                </c:pt>
                <c:pt idx="1">
                  <c:v>1.8371429066687701E-4</c:v>
                </c:pt>
                <c:pt idx="2">
                  <c:v>5.4918650970976995E-4</c:v>
                </c:pt>
                <c:pt idx="3">
                  <c:v>1.6419758424240399E-2</c:v>
                </c:pt>
                <c:pt idx="4">
                  <c:v>2.8872129115533598E-3</c:v>
                </c:pt>
                <c:pt idx="5">
                  <c:v>1.2546885750994901E-4</c:v>
                </c:pt>
                <c:pt idx="6">
                  <c:v>1.05810078739274E-3</c:v>
                </c:pt>
                <c:pt idx="7">
                  <c:v>1.07585253087442E-4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86-497A-AD2A-03A8B88645BC}"/>
            </c:ext>
          </c:extLst>
        </c:ser>
        <c:ser>
          <c:idx val="1"/>
          <c:order val="1"/>
          <c:tx>
            <c:strRef>
              <c:f>'Stencil Nodes'!$L$1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Nodes'!$L$2:$L$9</c:f>
              <c:numCache>
                <c:formatCode>General</c:formatCode>
                <c:ptCount val="8"/>
                <c:pt idx="0">
                  <c:v>1.6771311405714499E-4</c:v>
                </c:pt>
                <c:pt idx="1">
                  <c:v>1.6767447434959501E-4</c:v>
                </c:pt>
                <c:pt idx="2">
                  <c:v>4.9747226209585901E-4</c:v>
                </c:pt>
                <c:pt idx="3">
                  <c:v>6.0057385887189001E-3</c:v>
                </c:pt>
                <c:pt idx="4">
                  <c:v>9.6287972521771198E-4</c:v>
                </c:pt>
                <c:pt idx="5">
                  <c:v>1.03230430760974E-4</c:v>
                </c:pt>
                <c:pt idx="6">
                  <c:v>2.9692780163990902E-4</c:v>
                </c:pt>
                <c:pt idx="7">
                  <c:v>3.8445638005266099E-5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86-497A-AD2A-03A8B88645BC}"/>
            </c:ext>
          </c:extLst>
        </c:ser>
        <c:ser>
          <c:idx val="2"/>
          <c:order val="2"/>
          <c:tx>
            <c:strRef>
              <c:f>'Stencil Nodes'!$M$1</c:f>
              <c:strCache>
                <c:ptCount val="1"/>
                <c:pt idx="0">
                  <c:v>energy_error_rel</c:v>
                </c:pt>
              </c:strCache>
            </c:strRef>
          </c:tx>
          <c:spPr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Nodes'!$M$2:$M$9</c:f>
              <c:numCache>
                <c:formatCode>General</c:formatCode>
                <c:ptCount val="8"/>
                <c:pt idx="0">
                  <c:v>1.62317495392564E-4</c:v>
                </c:pt>
                <c:pt idx="1">
                  <c:v>1.6227973850776E-4</c:v>
                </c:pt>
                <c:pt idx="2">
                  <c:v>4.7735105683887003E-4</c:v>
                </c:pt>
                <c:pt idx="3">
                  <c:v>1.0744697527412E-2</c:v>
                </c:pt>
                <c:pt idx="4">
                  <c:v>2.6551403409213001E-3</c:v>
                </c:pt>
                <c:pt idx="5">
                  <c:v>1.7283395739674801E-4</c:v>
                </c:pt>
                <c:pt idx="6">
                  <c:v>4.6030402483279601E-4</c:v>
                </c:pt>
                <c:pt idx="7">
                  <c:v>6.8921945078560996E-5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86-497A-AD2A-03A8B88645BC}"/>
            </c:ext>
          </c:extLst>
        </c:ser>
        <c:ser>
          <c:idx val="3"/>
          <c:order val="3"/>
          <c:tx>
            <c:strRef>
              <c:f>'Stencil Nodes'!$N$1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Nodes'!$N$2:$N$9</c:f>
              <c:numCache>
                <c:formatCode>General</c:formatCode>
                <c:ptCount val="8"/>
                <c:pt idx="0">
                  <c:v>1.0788945539040699E-4</c:v>
                </c:pt>
                <c:pt idx="1">
                  <c:v>1.07867459763692E-4</c:v>
                </c:pt>
                <c:pt idx="2">
                  <c:v>3.3305917584312898E-4</c:v>
                </c:pt>
                <c:pt idx="3">
                  <c:v>5.56316385029616E-4</c:v>
                </c:pt>
                <c:pt idx="4">
                  <c:v>2.7590744040332398E-4</c:v>
                </c:pt>
                <c:pt idx="5">
                  <c:v>2.6006240953534799E-4</c:v>
                </c:pt>
                <c:pt idx="6">
                  <c:v>3.9177531682350403E-5</c:v>
                </c:pt>
                <c:pt idx="7">
                  <c:v>1.6169988666580099E-4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86-497A-AD2A-03A8B88645BC}"/>
            </c:ext>
          </c:extLst>
        </c:ser>
        <c:ser>
          <c:idx val="4"/>
          <c:order val="4"/>
          <c:tx>
            <c:strRef>
              <c:f>'Stencil Nodes'!$O$1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Nodes'!$O$2:$O$9</c:f>
              <c:numCache>
                <c:formatCode>General</c:formatCode>
                <c:ptCount val="8"/>
                <c:pt idx="0">
                  <c:v>1.3526395520307801E-4</c:v>
                </c:pt>
                <c:pt idx="1">
                  <c:v>1.35235590158523E-4</c:v>
                </c:pt>
                <c:pt idx="2">
                  <c:v>3.7277662806527E-4</c:v>
                </c:pt>
                <c:pt idx="3">
                  <c:v>3.9236541366676403E-4</c:v>
                </c:pt>
                <c:pt idx="4">
                  <c:v>3.3714558195213602E-4</c:v>
                </c:pt>
                <c:pt idx="5">
                  <c:v>3.41582041283914E-4</c:v>
                </c:pt>
                <c:pt idx="6">
                  <c:v>3.1795769458342701E-5</c:v>
                </c:pt>
                <c:pt idx="7">
                  <c:v>2.59250489128654E-5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86-497A-AD2A-03A8B8864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86386"/>
        <c:axId val="9961567"/>
      </c:scatterChart>
      <c:valAx>
        <c:axId val="4328638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61567"/>
        <c:crosses val="autoZero"/>
        <c:crossBetween val="midCat"/>
      </c:valAx>
      <c:valAx>
        <c:axId val="996156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28638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'Center Rings'!$K$1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1.8375504906717699E-4</c:v>
                </c:pt>
                <c:pt idx="1">
                  <c:v>1.83761359453723E-4</c:v>
                </c:pt>
                <c:pt idx="2">
                  <c:v>1.8376157943690501E-4</c:v>
                </c:pt>
                <c:pt idx="3">
                  <c:v>1.8376150763503601E-4</c:v>
                </c:pt>
                <c:pt idx="4">
                  <c:v>1.8376490395345099E-4</c:v>
                </c:pt>
                <c:pt idx="5">
                  <c:v>1.8376728932995099E-4</c:v>
                </c:pt>
                <c:pt idx="6">
                  <c:v>1.83758578587218E-4</c:v>
                </c:pt>
                <c:pt idx="7">
                  <c:v>1.83765239923426E-4</c:v>
                </c:pt>
                <c:pt idx="8">
                  <c:v>1.8376498358889401E-4</c:v>
                </c:pt>
                <c:pt idx="9">
                  <c:v>1.8376457937122699E-4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C4-4CF3-8622-9E553F6982D2}"/>
            </c:ext>
          </c:extLst>
        </c:ser>
        <c:ser>
          <c:idx val="1"/>
          <c:order val="1"/>
          <c:tx>
            <c:strRef>
              <c:f>'Center Rings'!$L$1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1.6771311405714499E-4</c:v>
                </c:pt>
                <c:pt idx="1">
                  <c:v>1.6771897748273399E-4</c:v>
                </c:pt>
                <c:pt idx="2">
                  <c:v>1.6771924096009E-4</c:v>
                </c:pt>
                <c:pt idx="3">
                  <c:v>1.6771910694367699E-4</c:v>
                </c:pt>
                <c:pt idx="4">
                  <c:v>1.6772230263907301E-4</c:v>
                </c:pt>
                <c:pt idx="5">
                  <c:v>1.6772447810561701E-4</c:v>
                </c:pt>
                <c:pt idx="6">
                  <c:v>1.67716255115161E-4</c:v>
                </c:pt>
                <c:pt idx="7">
                  <c:v>1.6772266864328701E-4</c:v>
                </c:pt>
                <c:pt idx="8">
                  <c:v>1.6772233186105001E-4</c:v>
                </c:pt>
                <c:pt idx="9">
                  <c:v>1.6772183908464699E-4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C4-4CF3-8622-9E553F6982D2}"/>
            </c:ext>
          </c:extLst>
        </c:ser>
        <c:ser>
          <c:idx val="2"/>
          <c:order val="2"/>
          <c:tx>
            <c:strRef>
              <c:f>'Center Rings'!$M$1</c:f>
              <c:strCache>
                <c:ptCount val="1"/>
                <c:pt idx="0">
                  <c:v>energy_error_rel</c:v>
                </c:pt>
              </c:strCache>
            </c:strRef>
          </c:tx>
          <c:spPr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1.62317495392564E-4</c:v>
                </c:pt>
                <c:pt idx="1">
                  <c:v>1.62322991371186E-4</c:v>
                </c:pt>
                <c:pt idx="2">
                  <c:v>1.62323243995063E-4</c:v>
                </c:pt>
                <c:pt idx="3">
                  <c:v>1.6232313795483001E-4</c:v>
                </c:pt>
                <c:pt idx="4">
                  <c:v>1.6232613599294701E-4</c:v>
                </c:pt>
                <c:pt idx="5">
                  <c:v>1.62328178364312E-4</c:v>
                </c:pt>
                <c:pt idx="6">
                  <c:v>1.6232048967597501E-4</c:v>
                </c:pt>
                <c:pt idx="7">
                  <c:v>1.62326492555307E-4</c:v>
                </c:pt>
                <c:pt idx="8">
                  <c:v>1.6232617944870201E-4</c:v>
                </c:pt>
                <c:pt idx="9">
                  <c:v>1.6232572330787299E-4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4-4CF3-8622-9E553F6982D2}"/>
            </c:ext>
          </c:extLst>
        </c:ser>
        <c:ser>
          <c:idx val="3"/>
          <c:order val="3"/>
          <c:tx>
            <c:strRef>
              <c:f>'Center Rings'!$N$1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1.0788945539040699E-4</c:v>
                </c:pt>
                <c:pt idx="1">
                  <c:v>1.07892417576515E-4</c:v>
                </c:pt>
                <c:pt idx="2">
                  <c:v>1.07892322563007E-4</c:v>
                </c:pt>
                <c:pt idx="3">
                  <c:v>1.07892394288606E-4</c:v>
                </c:pt>
                <c:pt idx="4">
                  <c:v>1.07894023490809E-4</c:v>
                </c:pt>
                <c:pt idx="5">
                  <c:v>1.07895018338408E-4</c:v>
                </c:pt>
                <c:pt idx="6">
                  <c:v>1.0789118426392699E-4</c:v>
                </c:pt>
                <c:pt idx="7">
                  <c:v>1.0789418417541801E-4</c:v>
                </c:pt>
                <c:pt idx="8">
                  <c:v>1.07894037929421E-4</c:v>
                </c:pt>
                <c:pt idx="9">
                  <c:v>1.07893774313228E-4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C4-4CF3-8622-9E553F6982D2}"/>
            </c:ext>
          </c:extLst>
        </c:ser>
        <c:ser>
          <c:idx val="4"/>
          <c:order val="4"/>
          <c:tx>
            <c:strRef>
              <c:f>'Center Rings'!$O$1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1.3526395520307801E-4</c:v>
                </c:pt>
                <c:pt idx="1">
                  <c:v>1.3526749913343901E-4</c:v>
                </c:pt>
                <c:pt idx="2">
                  <c:v>1.35267695860056E-4</c:v>
                </c:pt>
                <c:pt idx="3">
                  <c:v>1.3526774455907599E-4</c:v>
                </c:pt>
                <c:pt idx="4">
                  <c:v>1.35269693359357E-4</c:v>
                </c:pt>
                <c:pt idx="5">
                  <c:v>1.3527102967019001E-4</c:v>
                </c:pt>
                <c:pt idx="6">
                  <c:v>1.35266185374877E-4</c:v>
                </c:pt>
                <c:pt idx="7">
                  <c:v>1.35270003976E-4</c:v>
                </c:pt>
                <c:pt idx="8">
                  <c:v>1.35269817441623E-4</c:v>
                </c:pt>
                <c:pt idx="9">
                  <c:v>1.3526955772506799E-4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C4-4CF3-8622-9E553F698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04612"/>
        <c:axId val="71624917"/>
      </c:scatterChart>
      <c:valAx>
        <c:axId val="3580461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624917"/>
        <c:crosses val="autoZero"/>
        <c:crossBetween val="midCat"/>
      </c:valAx>
      <c:valAx>
        <c:axId val="7162491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80461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'Eigenvalue Ratio'!$K$1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'Eigenvalue Ratio'!$Q$2:$Q$14</c:f>
              <c:strCache>
                <c:ptCount val="13"/>
                <c:pt idx="0">
                  <c:v>lambda p: 10.0</c:v>
                </c:pt>
                <c:pt idx="1">
                  <c:v>lambda p: 5.0</c:v>
                </c:pt>
                <c:pt idx="2">
                  <c:v>lambda p: 1.0</c:v>
                </c:pt>
                <c:pt idx="3">
                  <c:v>lambda p: 0.5</c:v>
                </c:pt>
                <c:pt idx="4">
                  <c:v>lambda p: 0.1</c:v>
                </c:pt>
                <c:pt idx="5">
                  <c:v>lambda p: 0.05</c:v>
                </c:pt>
                <c:pt idx="6">
                  <c:v>lambda p: 0.01</c:v>
                </c:pt>
                <c:pt idx="7">
                  <c:v>lambda p: 0.005</c:v>
                </c:pt>
                <c:pt idx="8">
                  <c:v>lambda p: 0.001</c:v>
                </c:pt>
                <c:pt idx="9">
                  <c:v>lambda p: 0.0005</c:v>
                </c:pt>
                <c:pt idx="10">
                  <c:v>lambda p: 0.0001</c:v>
                </c:pt>
                <c:pt idx="11">
                  <c:v>lambda p: 5e-05</c:v>
                </c:pt>
                <c:pt idx="12">
                  <c:v>lambda p: 1e-05</c:v>
                </c:pt>
              </c:strCache>
            </c:str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6.2807716054110696E-5</c:v>
                </c:pt>
                <c:pt idx="1">
                  <c:v>3.1384909641578902E-5</c:v>
                </c:pt>
                <c:pt idx="2">
                  <c:v>1.14774536623571E-4</c:v>
                </c:pt>
                <c:pt idx="3">
                  <c:v>9.51779191315052E-5</c:v>
                </c:pt>
                <c:pt idx="4">
                  <c:v>6.2806459260768095E-5</c:v>
                </c:pt>
                <c:pt idx="5">
                  <c:v>1.05188936235153E-4</c:v>
                </c:pt>
                <c:pt idx="6">
                  <c:v>1.6452945520203501E-4</c:v>
                </c:pt>
                <c:pt idx="7">
                  <c:v>1.7484165055165599E-4</c:v>
                </c:pt>
                <c:pt idx="8">
                  <c:v>1.8375504906717699E-4</c:v>
                </c:pt>
                <c:pt idx="9">
                  <c:v>1.8491423755876601E-4</c:v>
                </c:pt>
                <c:pt idx="10">
                  <c:v>1.8584912995704201E-4</c:v>
                </c:pt>
                <c:pt idx="11">
                  <c:v>1.8596648733348E-4</c:v>
                </c:pt>
                <c:pt idx="12">
                  <c:v>1.8606047474693099E-4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24-48CD-9855-1EDB6709C4D4}"/>
            </c:ext>
          </c:extLst>
        </c:ser>
        <c:ser>
          <c:idx val="1"/>
          <c:order val="1"/>
          <c:tx>
            <c:strRef>
              <c:f>'Eigenvalue Ratio'!$L$1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'Eigenvalue Ratio'!$Q$2:$Q$14</c:f>
              <c:strCache>
                <c:ptCount val="13"/>
                <c:pt idx="0">
                  <c:v>lambda p: 10.0</c:v>
                </c:pt>
                <c:pt idx="1">
                  <c:v>lambda p: 5.0</c:v>
                </c:pt>
                <c:pt idx="2">
                  <c:v>lambda p: 1.0</c:v>
                </c:pt>
                <c:pt idx="3">
                  <c:v>lambda p: 0.5</c:v>
                </c:pt>
                <c:pt idx="4">
                  <c:v>lambda p: 0.1</c:v>
                </c:pt>
                <c:pt idx="5">
                  <c:v>lambda p: 0.05</c:v>
                </c:pt>
                <c:pt idx="6">
                  <c:v>lambda p: 0.01</c:v>
                </c:pt>
                <c:pt idx="7">
                  <c:v>lambda p: 0.005</c:v>
                </c:pt>
                <c:pt idx="8">
                  <c:v>lambda p: 0.001</c:v>
                </c:pt>
                <c:pt idx="9">
                  <c:v>lambda p: 0.0005</c:v>
                </c:pt>
                <c:pt idx="10">
                  <c:v>lambda p: 0.0001</c:v>
                </c:pt>
                <c:pt idx="11">
                  <c:v>lambda p: 5e-05</c:v>
                </c:pt>
                <c:pt idx="12">
                  <c:v>lambda p: 1e-05</c:v>
                </c:pt>
              </c:strCache>
            </c:str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4.9300861894460098E-5</c:v>
                </c:pt>
                <c:pt idx="1">
                  <c:v>2.48875231072375E-5</c:v>
                </c:pt>
                <c:pt idx="2">
                  <c:v>6.4565324487403502E-5</c:v>
                </c:pt>
                <c:pt idx="3">
                  <c:v>5.3688987968898198E-5</c:v>
                </c:pt>
                <c:pt idx="4">
                  <c:v>4.9299819066030003E-5</c:v>
                </c:pt>
                <c:pt idx="5">
                  <c:v>8.9611774110524603E-5</c:v>
                </c:pt>
                <c:pt idx="6">
                  <c:v>1.48511048963447E-4</c:v>
                </c:pt>
                <c:pt idx="7">
                  <c:v>1.58806788285952E-4</c:v>
                </c:pt>
                <c:pt idx="8">
                  <c:v>1.6771311405714499E-4</c:v>
                </c:pt>
                <c:pt idx="9">
                  <c:v>1.68871781535175E-4</c:v>
                </c:pt>
                <c:pt idx="10">
                  <c:v>1.6980629024977999E-4</c:v>
                </c:pt>
                <c:pt idx="11">
                  <c:v>1.6992358301630501E-4</c:v>
                </c:pt>
                <c:pt idx="12">
                  <c:v>1.7001749248391699E-4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24-48CD-9855-1EDB6709C4D4}"/>
            </c:ext>
          </c:extLst>
        </c:ser>
        <c:ser>
          <c:idx val="2"/>
          <c:order val="2"/>
          <c:tx>
            <c:strRef>
              <c:f>'Eigenvalue Ratio'!$M$1</c:f>
              <c:strCache>
                <c:ptCount val="1"/>
                <c:pt idx="0">
                  <c:v>energy_error_rel</c:v>
                </c:pt>
              </c:strCache>
            </c:strRef>
          </c:tx>
          <c:spPr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'Eigenvalue Ratio'!$Q$2:$Q$14</c:f>
              <c:strCache>
                <c:ptCount val="13"/>
                <c:pt idx="0">
                  <c:v>lambda p: 10.0</c:v>
                </c:pt>
                <c:pt idx="1">
                  <c:v>lambda p: 5.0</c:v>
                </c:pt>
                <c:pt idx="2">
                  <c:v>lambda p: 1.0</c:v>
                </c:pt>
                <c:pt idx="3">
                  <c:v>lambda p: 0.5</c:v>
                </c:pt>
                <c:pt idx="4">
                  <c:v>lambda p: 0.1</c:v>
                </c:pt>
                <c:pt idx="5">
                  <c:v>lambda p: 0.05</c:v>
                </c:pt>
                <c:pt idx="6">
                  <c:v>lambda p: 0.01</c:v>
                </c:pt>
                <c:pt idx="7">
                  <c:v>lambda p: 0.005</c:v>
                </c:pt>
                <c:pt idx="8">
                  <c:v>lambda p: 0.001</c:v>
                </c:pt>
                <c:pt idx="9">
                  <c:v>lambda p: 0.0005</c:v>
                </c:pt>
                <c:pt idx="10">
                  <c:v>lambda p: 0.0001</c:v>
                </c:pt>
                <c:pt idx="11">
                  <c:v>lambda p: 5e-05</c:v>
                </c:pt>
                <c:pt idx="12">
                  <c:v>lambda p: 1e-05</c:v>
                </c:pt>
              </c:strCache>
            </c:str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5.61481960043733E-5</c:v>
                </c:pt>
                <c:pt idx="1">
                  <c:v>4.1135553605162999E-5</c:v>
                </c:pt>
                <c:pt idx="2">
                  <c:v>6.4565324487310396E-5</c:v>
                </c:pt>
                <c:pt idx="3">
                  <c:v>5.7892947962809E-5</c:v>
                </c:pt>
                <c:pt idx="4">
                  <c:v>5.6147463977516702E-5</c:v>
                </c:pt>
                <c:pt idx="5">
                  <c:v>8.9571634544605405E-5</c:v>
                </c:pt>
                <c:pt idx="6">
                  <c:v>1.44011571261E-4</c:v>
                </c:pt>
                <c:pt idx="7">
                  <c:v>1.5380531625171101E-4</c:v>
                </c:pt>
                <c:pt idx="8">
                  <c:v>1.62317495392564E-4</c:v>
                </c:pt>
                <c:pt idx="9">
                  <c:v>1.6342734348623E-4</c:v>
                </c:pt>
                <c:pt idx="10">
                  <c:v>1.64322867282643E-4</c:v>
                </c:pt>
                <c:pt idx="11">
                  <c:v>1.6443529122860299E-4</c:v>
                </c:pt>
                <c:pt idx="12">
                  <c:v>1.6452530642203E-4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24-48CD-9855-1EDB6709C4D4}"/>
            </c:ext>
          </c:extLst>
        </c:ser>
        <c:ser>
          <c:idx val="3"/>
          <c:order val="3"/>
          <c:tx>
            <c:strRef>
              <c:f>'Eigenvalue Ratio'!$N$1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'Eigenvalue Ratio'!$Q$2:$Q$14</c:f>
              <c:strCache>
                <c:ptCount val="13"/>
                <c:pt idx="0">
                  <c:v>lambda p: 10.0</c:v>
                </c:pt>
                <c:pt idx="1">
                  <c:v>lambda p: 5.0</c:v>
                </c:pt>
                <c:pt idx="2">
                  <c:v>lambda p: 1.0</c:v>
                </c:pt>
                <c:pt idx="3">
                  <c:v>lambda p: 0.5</c:v>
                </c:pt>
                <c:pt idx="4">
                  <c:v>lambda p: 0.1</c:v>
                </c:pt>
                <c:pt idx="5">
                  <c:v>lambda p: 0.05</c:v>
                </c:pt>
                <c:pt idx="6">
                  <c:v>lambda p: 0.01</c:v>
                </c:pt>
                <c:pt idx="7">
                  <c:v>lambda p: 0.005</c:v>
                </c:pt>
                <c:pt idx="8">
                  <c:v>lambda p: 0.001</c:v>
                </c:pt>
                <c:pt idx="9">
                  <c:v>lambda p: 0.0005</c:v>
                </c:pt>
                <c:pt idx="10">
                  <c:v>lambda p: 0.0001</c:v>
                </c:pt>
                <c:pt idx="11">
                  <c:v>lambda p: 5e-05</c:v>
                </c:pt>
                <c:pt idx="12">
                  <c:v>lambda p: 1e-05</c:v>
                </c:pt>
              </c:strCache>
            </c:str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5.6162195074152397E-5</c:v>
                </c:pt>
                <c:pt idx="1">
                  <c:v>4.3192805147138003E-5</c:v>
                </c:pt>
                <c:pt idx="2">
                  <c:v>6.4569494679448498E-5</c:v>
                </c:pt>
                <c:pt idx="3">
                  <c:v>6.0065630394359701E-5</c:v>
                </c:pt>
                <c:pt idx="4">
                  <c:v>5.6162080855632101E-5</c:v>
                </c:pt>
                <c:pt idx="5">
                  <c:v>6.8893344116582105E-5</c:v>
                </c:pt>
                <c:pt idx="6">
                  <c:v>9.8305451267088504E-5</c:v>
                </c:pt>
                <c:pt idx="7">
                  <c:v>1.0344781610347E-4</c:v>
                </c:pt>
                <c:pt idx="8">
                  <c:v>1.0788945539040699E-4</c:v>
                </c:pt>
                <c:pt idx="9">
                  <c:v>1.08466889736022E-4</c:v>
                </c:pt>
                <c:pt idx="10">
                  <c:v>1.08932550005048E-4</c:v>
                </c:pt>
                <c:pt idx="11">
                  <c:v>1.0899098983272999E-4</c:v>
                </c:pt>
                <c:pt idx="12">
                  <c:v>1.09037781656438E-4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24-48CD-9855-1EDB6709C4D4}"/>
            </c:ext>
          </c:extLst>
        </c:ser>
        <c:ser>
          <c:idx val="4"/>
          <c:order val="4"/>
          <c:tx>
            <c:strRef>
              <c:f>'Eigenvalue Ratio'!$O$1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'Eigenvalue Ratio'!$Q$2:$Q$14</c:f>
              <c:strCache>
                <c:ptCount val="13"/>
                <c:pt idx="0">
                  <c:v>lambda p: 10.0</c:v>
                </c:pt>
                <c:pt idx="1">
                  <c:v>lambda p: 5.0</c:v>
                </c:pt>
                <c:pt idx="2">
                  <c:v>lambda p: 1.0</c:v>
                </c:pt>
                <c:pt idx="3">
                  <c:v>lambda p: 0.5</c:v>
                </c:pt>
                <c:pt idx="4">
                  <c:v>lambda p: 0.1</c:v>
                </c:pt>
                <c:pt idx="5">
                  <c:v>lambda p: 0.05</c:v>
                </c:pt>
                <c:pt idx="6">
                  <c:v>lambda p: 0.01</c:v>
                </c:pt>
                <c:pt idx="7">
                  <c:v>lambda p: 0.005</c:v>
                </c:pt>
                <c:pt idx="8">
                  <c:v>lambda p: 0.001</c:v>
                </c:pt>
                <c:pt idx="9">
                  <c:v>lambda p: 0.0005</c:v>
                </c:pt>
                <c:pt idx="10">
                  <c:v>lambda p: 0.0001</c:v>
                </c:pt>
                <c:pt idx="11">
                  <c:v>lambda p: 5e-05</c:v>
                </c:pt>
                <c:pt idx="12">
                  <c:v>lambda p: 1e-05</c:v>
                </c:pt>
              </c:strCache>
            </c:str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7.0415008917686098E-5</c:v>
                </c:pt>
                <c:pt idx="1">
                  <c:v>6.0157011825624701E-5</c:v>
                </c:pt>
                <c:pt idx="2">
                  <c:v>6.4569493440924403E-5</c:v>
                </c:pt>
                <c:pt idx="3">
                  <c:v>6.2395081363247602E-5</c:v>
                </c:pt>
                <c:pt idx="4">
                  <c:v>7.0414802917621394E-5</c:v>
                </c:pt>
                <c:pt idx="5">
                  <c:v>8.9442969304705906E-5</c:v>
                </c:pt>
                <c:pt idx="6">
                  <c:v>1.2334737071573499E-4</c:v>
                </c:pt>
                <c:pt idx="7">
                  <c:v>1.2969969472382401E-4</c:v>
                </c:pt>
                <c:pt idx="8">
                  <c:v>1.3526395520307801E-4</c:v>
                </c:pt>
                <c:pt idx="9">
                  <c:v>1.35992144926347E-4</c:v>
                </c:pt>
                <c:pt idx="10">
                  <c:v>1.3658014566923801E-4</c:v>
                </c:pt>
                <c:pt idx="11">
                  <c:v>1.36653990262249E-4</c:v>
                </c:pt>
                <c:pt idx="12">
                  <c:v>1.36713120216543E-4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24-48CD-9855-1EDB6709C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72669"/>
        <c:axId val="917448"/>
      </c:scatterChart>
      <c:valAx>
        <c:axId val="3037266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448"/>
        <c:crosses val="autoZero"/>
        <c:crossBetween val="midCat"/>
      </c:valAx>
      <c:valAx>
        <c:axId val="91744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37266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Eigenvector Angle: Relative Errors &amp; Residuals vs angle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'Eigenvector Angle'!$K$1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'Eigenvector Angle'!$Q$2:$Q$10</c:f>
              <c:strCache>
                <c:ptCount val="9"/>
                <c:pt idx="0">
                  <c:v>lambda p: 0.0/24.0*np.pi</c:v>
                </c:pt>
                <c:pt idx="1">
                  <c:v>lambda p: 4.0/24.0*np.pi</c:v>
                </c:pt>
                <c:pt idx="2">
                  <c:v>lambda p: 6.0/24.0*np.pi</c:v>
                </c:pt>
                <c:pt idx="3">
                  <c:v>lambda p: 8.0/24.0*np.pi</c:v>
                </c:pt>
                <c:pt idx="4">
                  <c:v>lambda p: 12.0/24.0*np.pi</c:v>
                </c:pt>
                <c:pt idx="5">
                  <c:v>lambda p: 16.0/24.0*np.pi</c:v>
                </c:pt>
                <c:pt idx="6">
                  <c:v>lambda p: 18.0/24.0*np.pi</c:v>
                </c:pt>
                <c:pt idx="7">
                  <c:v>lambda p: 20.0/24.0*np.pi</c:v>
                </c:pt>
                <c:pt idx="8">
                  <c:v>lambda p: 24.0/24.0*np.pi</c:v>
                </c:pt>
              </c:strCache>
            </c:str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1.8375771635120299E-4</c:v>
                </c:pt>
                <c:pt idx="1">
                  <c:v>0.57866911931473297</c:v>
                </c:pt>
                <c:pt idx="2">
                  <c:v>0.63789172339603895</c:v>
                </c:pt>
                <c:pt idx="3">
                  <c:v>0.578669119262475</c:v>
                </c:pt>
                <c:pt idx="4">
                  <c:v>1.8375504906717699E-4</c:v>
                </c:pt>
                <c:pt idx="5">
                  <c:v>0.57866911926338405</c:v>
                </c:pt>
                <c:pt idx="6">
                  <c:v>0.63789172340352895</c:v>
                </c:pt>
                <c:pt idx="7">
                  <c:v>0.57866911933125398</c:v>
                </c:pt>
                <c:pt idx="8">
                  <c:v>1.8375771635120299E-4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1E-4194-B1E7-69C011F5CAB0}"/>
            </c:ext>
          </c:extLst>
        </c:ser>
        <c:ser>
          <c:idx val="1"/>
          <c:order val="1"/>
          <c:tx>
            <c:strRef>
              <c:f>'Eigenvector Angle'!$L$1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'Eigenvector Angle'!$Q$2:$Q$10</c:f>
              <c:strCache>
                <c:ptCount val="9"/>
                <c:pt idx="0">
                  <c:v>lambda p: 0.0/24.0*np.pi</c:v>
                </c:pt>
                <c:pt idx="1">
                  <c:v>lambda p: 4.0/24.0*np.pi</c:v>
                </c:pt>
                <c:pt idx="2">
                  <c:v>lambda p: 6.0/24.0*np.pi</c:v>
                </c:pt>
                <c:pt idx="3">
                  <c:v>lambda p: 8.0/24.0*np.pi</c:v>
                </c:pt>
                <c:pt idx="4">
                  <c:v>lambda p: 12.0/24.0*np.pi</c:v>
                </c:pt>
                <c:pt idx="5">
                  <c:v>lambda p: 16.0/24.0*np.pi</c:v>
                </c:pt>
                <c:pt idx="6">
                  <c:v>lambda p: 18.0/24.0*np.pi</c:v>
                </c:pt>
                <c:pt idx="7">
                  <c:v>lambda p: 20.0/24.0*np.pi</c:v>
                </c:pt>
                <c:pt idx="8">
                  <c:v>lambda p: 24.0/24.0*np.pi</c:v>
                </c:pt>
              </c:strCache>
            </c:str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1.67715578199433E-4</c:v>
                </c:pt>
                <c:pt idx="1">
                  <c:v>0.418658170220987</c:v>
                </c:pt>
                <c:pt idx="2">
                  <c:v>0.48273527676557298</c:v>
                </c:pt>
                <c:pt idx="3">
                  <c:v>0.41865817010704898</c:v>
                </c:pt>
                <c:pt idx="4">
                  <c:v>1.6771311405714499E-4</c:v>
                </c:pt>
                <c:pt idx="5">
                  <c:v>0.41865817010324902</c:v>
                </c:pt>
                <c:pt idx="6">
                  <c:v>0.482735276759656</c:v>
                </c:pt>
                <c:pt idx="7">
                  <c:v>0.41865817021670998</c:v>
                </c:pt>
                <c:pt idx="8">
                  <c:v>1.67715578199433E-4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1E-4194-B1E7-69C011F5CAB0}"/>
            </c:ext>
          </c:extLst>
        </c:ser>
        <c:ser>
          <c:idx val="2"/>
          <c:order val="2"/>
          <c:tx>
            <c:strRef>
              <c:f>'Eigenvector Angle'!$M$1</c:f>
              <c:strCache>
                <c:ptCount val="1"/>
                <c:pt idx="0">
                  <c:v>energy_error_rel</c:v>
                </c:pt>
              </c:strCache>
            </c:strRef>
          </c:tx>
          <c:spPr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'Eigenvector Angle'!$Q$2:$Q$10</c:f>
              <c:strCache>
                <c:ptCount val="9"/>
                <c:pt idx="0">
                  <c:v>lambda p: 0.0/24.0*np.pi</c:v>
                </c:pt>
                <c:pt idx="1">
                  <c:v>lambda p: 4.0/24.0*np.pi</c:v>
                </c:pt>
                <c:pt idx="2">
                  <c:v>lambda p: 6.0/24.0*np.pi</c:v>
                </c:pt>
                <c:pt idx="3">
                  <c:v>lambda p: 8.0/24.0*np.pi</c:v>
                </c:pt>
                <c:pt idx="4">
                  <c:v>lambda p: 12.0/24.0*np.pi</c:v>
                </c:pt>
                <c:pt idx="5">
                  <c:v>lambda p: 16.0/24.0*np.pi</c:v>
                </c:pt>
                <c:pt idx="6">
                  <c:v>lambda p: 18.0/24.0*np.pi</c:v>
                </c:pt>
                <c:pt idx="7">
                  <c:v>lambda p: 20.0/24.0*np.pi</c:v>
                </c:pt>
                <c:pt idx="8">
                  <c:v>lambda p: 24.0/24.0*np.pi</c:v>
                </c:pt>
              </c:strCache>
            </c:str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1.6231982306398599E-4</c:v>
                </c:pt>
                <c:pt idx="1">
                  <c:v>0.49337328663337299</c:v>
                </c:pt>
                <c:pt idx="2">
                  <c:v>0.47649992649242401</c:v>
                </c:pt>
                <c:pt idx="3">
                  <c:v>0.49337284548569699</c:v>
                </c:pt>
                <c:pt idx="4">
                  <c:v>1.62317495392564E-4</c:v>
                </c:pt>
                <c:pt idx="5">
                  <c:v>0.49337318781674</c:v>
                </c:pt>
                <c:pt idx="6">
                  <c:v>0.47650027291885599</c:v>
                </c:pt>
                <c:pt idx="7">
                  <c:v>0.493373692486197</c:v>
                </c:pt>
                <c:pt idx="8">
                  <c:v>1.62319823063982E-4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1E-4194-B1E7-69C011F5CAB0}"/>
            </c:ext>
          </c:extLst>
        </c:ser>
        <c:ser>
          <c:idx val="3"/>
          <c:order val="3"/>
          <c:tx>
            <c:strRef>
              <c:f>'Eigenvector Angle'!$N$1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'Eigenvector Angle'!$Q$2:$Q$10</c:f>
              <c:strCache>
                <c:ptCount val="9"/>
                <c:pt idx="0">
                  <c:v>lambda p: 0.0/24.0*np.pi</c:v>
                </c:pt>
                <c:pt idx="1">
                  <c:v>lambda p: 4.0/24.0*np.pi</c:v>
                </c:pt>
                <c:pt idx="2">
                  <c:v>lambda p: 6.0/24.0*np.pi</c:v>
                </c:pt>
                <c:pt idx="3">
                  <c:v>lambda p: 8.0/24.0*np.pi</c:v>
                </c:pt>
                <c:pt idx="4">
                  <c:v>lambda p: 12.0/24.0*np.pi</c:v>
                </c:pt>
                <c:pt idx="5">
                  <c:v>lambda p: 16.0/24.0*np.pi</c:v>
                </c:pt>
                <c:pt idx="6">
                  <c:v>lambda p: 18.0/24.0*np.pi</c:v>
                </c:pt>
                <c:pt idx="7">
                  <c:v>lambda p: 20.0/24.0*np.pi</c:v>
                </c:pt>
                <c:pt idx="8">
                  <c:v>lambda p: 24.0/24.0*np.pi</c:v>
                </c:pt>
              </c:strCache>
            </c:str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1.07890443710193E-4</c:v>
                </c:pt>
                <c:pt idx="1">
                  <c:v>0.61647750935863899</c:v>
                </c:pt>
                <c:pt idx="2">
                  <c:v>0.59840735573938098</c:v>
                </c:pt>
                <c:pt idx="3">
                  <c:v>0.61647750935878098</c:v>
                </c:pt>
                <c:pt idx="4">
                  <c:v>1.0788945539040699E-4</c:v>
                </c:pt>
                <c:pt idx="5">
                  <c:v>0.61647750935877399</c:v>
                </c:pt>
                <c:pt idx="6">
                  <c:v>0.59840735573939996</c:v>
                </c:pt>
                <c:pt idx="7">
                  <c:v>0.61647750935864198</c:v>
                </c:pt>
                <c:pt idx="8">
                  <c:v>1.07890443710193E-4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1E-4194-B1E7-69C011F5CAB0}"/>
            </c:ext>
          </c:extLst>
        </c:ser>
        <c:ser>
          <c:idx val="4"/>
          <c:order val="4"/>
          <c:tx>
            <c:strRef>
              <c:f>'Eigenvector Angle'!$O$1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'Eigenvector Angle'!$Q$2:$Q$10</c:f>
              <c:strCache>
                <c:ptCount val="9"/>
                <c:pt idx="0">
                  <c:v>lambda p: 0.0/24.0*np.pi</c:v>
                </c:pt>
                <c:pt idx="1">
                  <c:v>lambda p: 4.0/24.0*np.pi</c:v>
                </c:pt>
                <c:pt idx="2">
                  <c:v>lambda p: 6.0/24.0*np.pi</c:v>
                </c:pt>
                <c:pt idx="3">
                  <c:v>lambda p: 8.0/24.0*np.pi</c:v>
                </c:pt>
                <c:pt idx="4">
                  <c:v>lambda p: 12.0/24.0*np.pi</c:v>
                </c:pt>
                <c:pt idx="5">
                  <c:v>lambda p: 16.0/24.0*np.pi</c:v>
                </c:pt>
                <c:pt idx="6">
                  <c:v>lambda p: 18.0/24.0*np.pi</c:v>
                </c:pt>
                <c:pt idx="7">
                  <c:v>lambda p: 20.0/24.0*np.pi</c:v>
                </c:pt>
                <c:pt idx="8">
                  <c:v>lambda p: 24.0/24.0*np.pi</c:v>
                </c:pt>
              </c:strCache>
            </c:str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1.3526539475513399E-4</c:v>
                </c:pt>
                <c:pt idx="1">
                  <c:v>0.55022834685571798</c:v>
                </c:pt>
                <c:pt idx="2">
                  <c:v>0.51072882711406498</c:v>
                </c:pt>
                <c:pt idx="3">
                  <c:v>0.55022834685717203</c:v>
                </c:pt>
                <c:pt idx="4">
                  <c:v>1.3526395520307801E-4</c:v>
                </c:pt>
                <c:pt idx="5">
                  <c:v>0.55022834685337396</c:v>
                </c:pt>
                <c:pt idx="6">
                  <c:v>0.51072882711047995</c:v>
                </c:pt>
                <c:pt idx="7">
                  <c:v>0.55022834685474498</c:v>
                </c:pt>
                <c:pt idx="8">
                  <c:v>1.3526539475513399E-4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1E-4194-B1E7-69C011F5C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68191"/>
        <c:axId val="12189553"/>
      </c:scatterChart>
      <c:valAx>
        <c:axId val="8546819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angle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189553"/>
        <c:crosses val="autoZero"/>
        <c:crossBetween val="midCat"/>
      </c:valAx>
      <c:valAx>
        <c:axId val="1218955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46819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topLeftCell="J1" zoomScaleNormal="100" workbookViewId="0"/>
  </sheetViews>
  <sheetFormatPr defaultColWidth="8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20</v>
      </c>
      <c r="B2">
        <v>20</v>
      </c>
      <c r="C2">
        <v>4</v>
      </c>
      <c r="D2">
        <v>5</v>
      </c>
      <c r="E2">
        <v>5</v>
      </c>
      <c r="F2" t="s">
        <v>17</v>
      </c>
      <c r="G2" t="s">
        <v>18</v>
      </c>
      <c r="H2" t="s">
        <v>19</v>
      </c>
      <c r="I2" t="b">
        <f>FALSE()</f>
        <v>0</v>
      </c>
      <c r="J2" t="b">
        <f>TRUE()</f>
        <v>1</v>
      </c>
      <c r="K2">
        <v>2.5948769596669499E-2</v>
      </c>
      <c r="L2">
        <v>2.3776416500036899E-2</v>
      </c>
      <c r="M2">
        <v>2.3044715212694099E-2</v>
      </c>
      <c r="N2">
        <v>1.52758227817162E-2</v>
      </c>
      <c r="O2">
        <v>1.88110742149167E-2</v>
      </c>
      <c r="P2" t="s">
        <v>20</v>
      </c>
      <c r="Q2">
        <v>20</v>
      </c>
    </row>
    <row r="3" spans="1:17" x14ac:dyDescent="0.3">
      <c r="A3">
        <v>30</v>
      </c>
      <c r="B3">
        <v>30</v>
      </c>
      <c r="C3">
        <v>4</v>
      </c>
      <c r="D3">
        <v>5</v>
      </c>
      <c r="E3">
        <v>5</v>
      </c>
      <c r="F3" t="s">
        <v>17</v>
      </c>
      <c r="G3" t="s">
        <v>18</v>
      </c>
      <c r="H3" t="s">
        <v>19</v>
      </c>
      <c r="I3" t="b">
        <f>FALSE()</f>
        <v>0</v>
      </c>
      <c r="J3" t="b">
        <f>TRUE()</f>
        <v>1</v>
      </c>
      <c r="K3">
        <v>1.19703234769257E-2</v>
      </c>
      <c r="L3">
        <v>1.09591978251372E-2</v>
      </c>
      <c r="M3">
        <v>1.06151287892943E-2</v>
      </c>
      <c r="N3">
        <v>7.0224957018244398E-3</v>
      </c>
      <c r="O3">
        <v>8.7606830241182092E-3</v>
      </c>
      <c r="P3" t="s">
        <v>20</v>
      </c>
      <c r="Q3">
        <v>30</v>
      </c>
    </row>
    <row r="4" spans="1:17" x14ac:dyDescent="0.3">
      <c r="A4">
        <v>50</v>
      </c>
      <c r="B4">
        <v>50</v>
      </c>
      <c r="C4">
        <v>4</v>
      </c>
      <c r="D4">
        <v>5</v>
      </c>
      <c r="E4">
        <v>5</v>
      </c>
      <c r="F4" t="s">
        <v>17</v>
      </c>
      <c r="G4" t="s">
        <v>18</v>
      </c>
      <c r="H4" t="s">
        <v>19</v>
      </c>
      <c r="I4" t="b">
        <f>FALSE()</f>
        <v>0</v>
      </c>
      <c r="J4" t="b">
        <f>TRUE()</f>
        <v>1</v>
      </c>
      <c r="K4">
        <v>4.4406052093512501E-3</v>
      </c>
      <c r="L4">
        <v>4.0578043284887604E-3</v>
      </c>
      <c r="M4">
        <v>3.9283178853342796E-3</v>
      </c>
      <c r="N4">
        <v>2.6069394391808501E-3</v>
      </c>
      <c r="O4">
        <v>3.2621729934316098E-3</v>
      </c>
      <c r="P4" t="s">
        <v>20</v>
      </c>
      <c r="Q4">
        <v>50</v>
      </c>
    </row>
    <row r="5" spans="1:17" x14ac:dyDescent="0.3">
      <c r="A5">
        <v>75</v>
      </c>
      <c r="B5">
        <v>75</v>
      </c>
      <c r="C5">
        <v>4</v>
      </c>
      <c r="D5">
        <v>5</v>
      </c>
      <c r="E5">
        <v>5</v>
      </c>
      <c r="F5" t="s">
        <v>17</v>
      </c>
      <c r="G5" t="s">
        <v>18</v>
      </c>
      <c r="H5" t="s">
        <v>19</v>
      </c>
      <c r="I5" t="b">
        <f>FALSE()</f>
        <v>0</v>
      </c>
      <c r="J5" t="b">
        <f>TRUE()</f>
        <v>1</v>
      </c>
      <c r="K5">
        <v>2.0055356621710599E-3</v>
      </c>
      <c r="L5">
        <v>1.8284775000316201E-3</v>
      </c>
      <c r="M5">
        <v>1.7698430231340499E-3</v>
      </c>
      <c r="N5">
        <v>1.17439221676503E-3</v>
      </c>
      <c r="O5">
        <v>1.47266760761233E-3</v>
      </c>
      <c r="P5" t="s">
        <v>20</v>
      </c>
      <c r="Q5">
        <v>75</v>
      </c>
    </row>
    <row r="6" spans="1:17" x14ac:dyDescent="0.3">
      <c r="A6">
        <v>100</v>
      </c>
      <c r="B6">
        <v>100</v>
      </c>
      <c r="C6">
        <v>4</v>
      </c>
      <c r="D6">
        <v>5</v>
      </c>
      <c r="E6">
        <v>5</v>
      </c>
      <c r="F6" t="s">
        <v>17</v>
      </c>
      <c r="G6" t="s">
        <v>18</v>
      </c>
      <c r="H6" t="s">
        <v>19</v>
      </c>
      <c r="I6" t="b">
        <f>FALSE()</f>
        <v>0</v>
      </c>
      <c r="J6" t="b">
        <f>TRUE()</f>
        <v>1</v>
      </c>
      <c r="K6">
        <v>1.1357936952123299E-3</v>
      </c>
      <c r="L6">
        <v>1.03555656359563E-3</v>
      </c>
      <c r="M6">
        <v>1.0022933789639299E-3</v>
      </c>
      <c r="N6">
        <v>6.6570249494188501E-4</v>
      </c>
      <c r="O6">
        <v>8.3459133755955201E-4</v>
      </c>
      <c r="P6" t="s">
        <v>20</v>
      </c>
      <c r="Q6">
        <v>100</v>
      </c>
    </row>
    <row r="7" spans="1:17" x14ac:dyDescent="0.3">
      <c r="A7">
        <v>125</v>
      </c>
      <c r="B7">
        <v>125</v>
      </c>
      <c r="C7">
        <v>4</v>
      </c>
      <c r="D7">
        <v>5</v>
      </c>
      <c r="E7">
        <v>5</v>
      </c>
      <c r="F7" t="s">
        <v>17</v>
      </c>
      <c r="G7" t="s">
        <v>18</v>
      </c>
      <c r="H7" t="s">
        <v>19</v>
      </c>
      <c r="I7" t="b">
        <f>FALSE()</f>
        <v>0</v>
      </c>
      <c r="J7" t="b">
        <f>TRUE()</f>
        <v>1</v>
      </c>
      <c r="K7">
        <v>7.2945748480499105E-4</v>
      </c>
      <c r="L7">
        <v>6.6546008601263103E-4</v>
      </c>
      <c r="M7">
        <v>6.4407025280631804E-4</v>
      </c>
      <c r="N7">
        <v>4.2785341247954999E-4</v>
      </c>
      <c r="O7">
        <v>5.3648193083342098E-4</v>
      </c>
      <c r="P7" t="s">
        <v>20</v>
      </c>
      <c r="Q7">
        <v>125</v>
      </c>
    </row>
    <row r="8" spans="1:17" x14ac:dyDescent="0.3">
      <c r="A8">
        <v>150</v>
      </c>
      <c r="B8">
        <v>150</v>
      </c>
      <c r="C8">
        <v>4</v>
      </c>
      <c r="D8">
        <v>5</v>
      </c>
      <c r="E8">
        <v>5</v>
      </c>
      <c r="F8" t="s">
        <v>17</v>
      </c>
      <c r="G8" t="s">
        <v>18</v>
      </c>
      <c r="H8" t="s">
        <v>19</v>
      </c>
      <c r="I8" t="b">
        <f>FALSE()</f>
        <v>0</v>
      </c>
      <c r="J8" t="b">
        <f>TRUE()</f>
        <v>1</v>
      </c>
      <c r="K8">
        <v>5.0765466208673999E-4</v>
      </c>
      <c r="L8">
        <v>4.6337711126478602E-4</v>
      </c>
      <c r="M8">
        <v>4.4847740636939898E-4</v>
      </c>
      <c r="N8">
        <v>2.9801354721814999E-4</v>
      </c>
      <c r="O8">
        <v>3.7362879301992E-4</v>
      </c>
      <c r="P8" t="s">
        <v>20</v>
      </c>
      <c r="Q8">
        <v>150</v>
      </c>
    </row>
    <row r="9" spans="1:17" x14ac:dyDescent="0.3">
      <c r="A9">
        <v>175</v>
      </c>
      <c r="B9">
        <v>175</v>
      </c>
      <c r="C9">
        <v>4</v>
      </c>
      <c r="D9">
        <v>5</v>
      </c>
      <c r="E9">
        <v>5</v>
      </c>
      <c r="F9" t="s">
        <v>17</v>
      </c>
      <c r="G9" t="s">
        <v>18</v>
      </c>
      <c r="H9" t="s">
        <v>19</v>
      </c>
      <c r="I9" t="b">
        <f>FALSE()</f>
        <v>0</v>
      </c>
      <c r="J9" t="b">
        <f>TRUE()</f>
        <v>1</v>
      </c>
      <c r="K9">
        <v>3.7373206053450102E-4</v>
      </c>
      <c r="L9">
        <v>3.4109858108812002E-4</v>
      </c>
      <c r="M9">
        <v>3.3012830557119601E-4</v>
      </c>
      <c r="N9">
        <v>2.1935962160037599E-4</v>
      </c>
      <c r="O9">
        <v>2.7506114682029702E-4</v>
      </c>
      <c r="P9" t="s">
        <v>20</v>
      </c>
      <c r="Q9">
        <v>175</v>
      </c>
    </row>
    <row r="10" spans="1:17" x14ac:dyDescent="0.3">
      <c r="A10">
        <v>200</v>
      </c>
      <c r="B10">
        <v>200</v>
      </c>
      <c r="C10">
        <v>4</v>
      </c>
      <c r="D10">
        <v>5</v>
      </c>
      <c r="E10">
        <v>5</v>
      </c>
      <c r="F10" t="s">
        <v>17</v>
      </c>
      <c r="G10" t="s">
        <v>18</v>
      </c>
      <c r="H10" t="s">
        <v>19</v>
      </c>
      <c r="I10" t="b">
        <f>FALSE()</f>
        <v>0</v>
      </c>
      <c r="J10" t="b">
        <f>TRUE()</f>
        <v>1</v>
      </c>
      <c r="K10">
        <v>2.8656390411139999E-4</v>
      </c>
      <c r="L10">
        <v>2.6152697272480499E-4</v>
      </c>
      <c r="M10">
        <v>2.5311465724429699E-4</v>
      </c>
      <c r="N10">
        <v>1.68229932801213E-4</v>
      </c>
      <c r="O10">
        <v>2.1090952449691699E-4</v>
      </c>
      <c r="P10" t="s">
        <v>20</v>
      </c>
      <c r="Q10">
        <v>200</v>
      </c>
    </row>
    <row r="11" spans="1:17" x14ac:dyDescent="0.3">
      <c r="A11">
        <v>250</v>
      </c>
      <c r="B11">
        <v>250</v>
      </c>
      <c r="C11">
        <v>4</v>
      </c>
      <c r="D11">
        <v>5</v>
      </c>
      <c r="E11">
        <v>5</v>
      </c>
      <c r="F11" t="s">
        <v>17</v>
      </c>
      <c r="G11" t="s">
        <v>18</v>
      </c>
      <c r="H11" t="s">
        <v>19</v>
      </c>
      <c r="I11" t="b">
        <f>FALSE()</f>
        <v>0</v>
      </c>
      <c r="J11" t="b">
        <f>TRUE()</f>
        <v>1</v>
      </c>
      <c r="K11">
        <v>1.8375504906717699E-4</v>
      </c>
      <c r="L11">
        <v>1.6771311405714499E-4</v>
      </c>
      <c r="M11">
        <v>1.62317495392564E-4</v>
      </c>
      <c r="N11">
        <v>1.0788945539040699E-4</v>
      </c>
      <c r="O11">
        <v>1.3526395520307801E-4</v>
      </c>
      <c r="P11" t="s">
        <v>20</v>
      </c>
      <c r="Q11">
        <v>250</v>
      </c>
    </row>
    <row r="12" spans="1:17" x14ac:dyDescent="0.3">
      <c r="A12">
        <v>300</v>
      </c>
      <c r="B12">
        <v>300</v>
      </c>
      <c r="C12">
        <v>4</v>
      </c>
      <c r="D12">
        <v>5</v>
      </c>
      <c r="E12">
        <v>5</v>
      </c>
      <c r="F12" t="s">
        <v>17</v>
      </c>
      <c r="G12" t="s">
        <v>18</v>
      </c>
      <c r="H12" t="s">
        <v>19</v>
      </c>
      <c r="I12" t="b">
        <f>FALSE()</f>
        <v>0</v>
      </c>
      <c r="J12" t="b">
        <f>TRUE()</f>
        <v>1</v>
      </c>
      <c r="K12">
        <v>1.2778464472346701E-4</v>
      </c>
      <c r="L12">
        <v>1.16623298644929E-4</v>
      </c>
      <c r="M12">
        <v>1.12870961325473E-4</v>
      </c>
      <c r="N12">
        <v>7.5025634237009206E-5</v>
      </c>
      <c r="O12">
        <v>9.4063020678025505E-5</v>
      </c>
      <c r="P12" t="s">
        <v>20</v>
      </c>
      <c r="Q12">
        <v>300</v>
      </c>
    </row>
    <row r="13" spans="1:17" x14ac:dyDescent="0.3">
      <c r="A13">
        <v>500</v>
      </c>
      <c r="B13">
        <v>500</v>
      </c>
      <c r="C13">
        <v>4</v>
      </c>
      <c r="D13">
        <v>5</v>
      </c>
      <c r="E13">
        <v>5</v>
      </c>
      <c r="F13" t="s">
        <v>17</v>
      </c>
      <c r="G13" t="s">
        <v>18</v>
      </c>
      <c r="H13" t="s">
        <v>19</v>
      </c>
      <c r="I13" t="b">
        <f>FALSE()</f>
        <v>0</v>
      </c>
      <c r="J13" t="b">
        <f>TRUE()</f>
        <v>1</v>
      </c>
      <c r="K13">
        <v>4.6096548457771902E-5</v>
      </c>
      <c r="L13">
        <v>4.2069444378068197E-5</v>
      </c>
      <c r="M13">
        <v>4.0716553879546599E-5</v>
      </c>
      <c r="N13">
        <v>2.7068064391597302E-5</v>
      </c>
      <c r="O13">
        <v>3.3939202233137898E-5</v>
      </c>
      <c r="P13" t="s">
        <v>20</v>
      </c>
      <c r="Q13">
        <v>500</v>
      </c>
    </row>
    <row r="14" spans="1:17" x14ac:dyDescent="0.3">
      <c r="A14">
        <v>750</v>
      </c>
      <c r="B14">
        <v>750</v>
      </c>
      <c r="C14">
        <v>4</v>
      </c>
      <c r="D14">
        <v>5</v>
      </c>
      <c r="E14">
        <v>5</v>
      </c>
      <c r="F14" t="s">
        <v>17</v>
      </c>
      <c r="G14" t="s">
        <v>18</v>
      </c>
      <c r="H14" t="s">
        <v>19</v>
      </c>
      <c r="I14" t="b">
        <f>FALSE()</f>
        <v>0</v>
      </c>
      <c r="J14" t="b">
        <f>TRUE()</f>
        <v>1</v>
      </c>
      <c r="K14">
        <v>2.0863506162485901E-5</v>
      </c>
      <c r="L14">
        <v>1.9048622889499001E-5</v>
      </c>
      <c r="M14">
        <v>1.8425456298084699E-5</v>
      </c>
      <c r="N14">
        <v>1.2201302468359801E-5</v>
      </c>
      <c r="O14">
        <v>1.5297567317739999E-5</v>
      </c>
      <c r="P14" t="s">
        <v>20</v>
      </c>
      <c r="Q14">
        <v>750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"/>
  <sheetViews>
    <sheetView zoomScaleNormal="100" workbookViewId="0"/>
  </sheetViews>
  <sheetFormatPr defaultColWidth="8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250</v>
      </c>
      <c r="B2">
        <v>250</v>
      </c>
      <c r="C2">
        <v>0.05</v>
      </c>
      <c r="D2">
        <v>5</v>
      </c>
      <c r="E2">
        <v>5</v>
      </c>
      <c r="F2" t="s">
        <v>17</v>
      </c>
      <c r="G2" t="s">
        <v>18</v>
      </c>
      <c r="H2" t="s">
        <v>19</v>
      </c>
      <c r="I2" t="b">
        <f>FALSE()</f>
        <v>0</v>
      </c>
      <c r="J2" t="b">
        <f>TRUE()</f>
        <v>1</v>
      </c>
      <c r="K2">
        <v>4212.6925709349698</v>
      </c>
      <c r="L2">
        <v>2796.4359111246699</v>
      </c>
      <c r="M2">
        <v>5943.0452970958404</v>
      </c>
      <c r="N2">
        <v>0.99972062315032295</v>
      </c>
      <c r="O2">
        <v>0.99972064803402405</v>
      </c>
      <c r="P2" t="s">
        <v>21</v>
      </c>
      <c r="Q2">
        <v>0.05</v>
      </c>
    </row>
    <row r="3" spans="1:17" x14ac:dyDescent="0.3">
      <c r="A3">
        <v>250</v>
      </c>
      <c r="B3">
        <v>250</v>
      </c>
      <c r="C3">
        <v>0.1</v>
      </c>
      <c r="D3">
        <v>5</v>
      </c>
      <c r="E3">
        <v>5</v>
      </c>
      <c r="F3" t="s">
        <v>17</v>
      </c>
      <c r="G3" t="s">
        <v>18</v>
      </c>
      <c r="H3" t="s">
        <v>19</v>
      </c>
      <c r="I3" t="b">
        <f>FALSE()</f>
        <v>0</v>
      </c>
      <c r="J3" t="b">
        <f>TRUE()</f>
        <v>1</v>
      </c>
      <c r="K3">
        <v>1052.2901732764999</v>
      </c>
      <c r="L3">
        <v>698.52311332089903</v>
      </c>
      <c r="M3">
        <v>1485.3099096224901</v>
      </c>
      <c r="N3">
        <v>0.99888249257349904</v>
      </c>
      <c r="O3">
        <v>0.99888289104672701</v>
      </c>
      <c r="P3" t="s">
        <v>21</v>
      </c>
      <c r="Q3">
        <v>0.1</v>
      </c>
    </row>
    <row r="4" spans="1:17" x14ac:dyDescent="0.3">
      <c r="A4">
        <v>250</v>
      </c>
      <c r="B4">
        <v>250</v>
      </c>
      <c r="C4">
        <v>0.5</v>
      </c>
      <c r="D4">
        <v>5</v>
      </c>
      <c r="E4">
        <v>5</v>
      </c>
      <c r="F4" t="s">
        <v>17</v>
      </c>
      <c r="G4" t="s">
        <v>18</v>
      </c>
      <c r="H4" t="s">
        <v>19</v>
      </c>
      <c r="I4" t="b">
        <f>FALSE()</f>
        <v>0</v>
      </c>
      <c r="J4" t="b">
        <f>TRUE()</f>
        <v>1</v>
      </c>
      <c r="K4">
        <v>1.8723799887331E-4</v>
      </c>
      <c r="L4">
        <v>1.6187843526308299E-4</v>
      </c>
      <c r="M4">
        <v>1.59330697619035E-4</v>
      </c>
      <c r="N4">
        <v>1.4642502687547301E-4</v>
      </c>
      <c r="O4">
        <v>1.4724768870888E-4</v>
      </c>
      <c r="P4" t="s">
        <v>21</v>
      </c>
      <c r="Q4">
        <v>0.5</v>
      </c>
    </row>
    <row r="5" spans="1:17" x14ac:dyDescent="0.3">
      <c r="A5">
        <v>250</v>
      </c>
      <c r="B5">
        <v>250</v>
      </c>
      <c r="C5">
        <v>1</v>
      </c>
      <c r="D5">
        <v>5</v>
      </c>
      <c r="E5">
        <v>5</v>
      </c>
      <c r="F5" t="s">
        <v>17</v>
      </c>
      <c r="G5" t="s">
        <v>18</v>
      </c>
      <c r="H5" t="s">
        <v>19</v>
      </c>
      <c r="I5" t="b">
        <f>FALSE()</f>
        <v>0</v>
      </c>
      <c r="J5" t="b">
        <f>TRUE()</f>
        <v>1</v>
      </c>
      <c r="K5">
        <v>1.25018499930956E-5</v>
      </c>
      <c r="L5">
        <v>1.1356726679732201E-5</v>
      </c>
      <c r="M5">
        <v>3.2288228354860303E-5</v>
      </c>
      <c r="N5">
        <v>5.1063060332923E-5</v>
      </c>
      <c r="O5">
        <v>7.1899930685316503E-5</v>
      </c>
      <c r="P5" t="s">
        <v>21</v>
      </c>
      <c r="Q5">
        <v>1</v>
      </c>
    </row>
    <row r="6" spans="1:17" x14ac:dyDescent="0.3">
      <c r="A6">
        <v>250</v>
      </c>
      <c r="B6">
        <v>250</v>
      </c>
      <c r="C6">
        <v>2</v>
      </c>
      <c r="D6">
        <v>5</v>
      </c>
      <c r="E6">
        <v>5</v>
      </c>
      <c r="F6" t="s">
        <v>17</v>
      </c>
      <c r="G6" t="s">
        <v>18</v>
      </c>
      <c r="H6" t="s">
        <v>19</v>
      </c>
      <c r="I6" t="b">
        <f>FALSE()</f>
        <v>0</v>
      </c>
      <c r="J6" t="b">
        <f>TRUE()</f>
        <v>1</v>
      </c>
      <c r="K6">
        <v>2.8664684767300899E-5</v>
      </c>
      <c r="L6">
        <v>2.4474646372373299E-5</v>
      </c>
      <c r="M6">
        <v>2.8893809796398699E-5</v>
      </c>
      <c r="N6">
        <v>3.4596369326093097E-5</v>
      </c>
      <c r="O6">
        <v>4.3593598015531098E-5</v>
      </c>
      <c r="P6" t="s">
        <v>21</v>
      </c>
      <c r="Q6">
        <v>2</v>
      </c>
    </row>
    <row r="7" spans="1:17" x14ac:dyDescent="0.3">
      <c r="A7">
        <v>250</v>
      </c>
      <c r="B7">
        <v>250</v>
      </c>
      <c r="C7">
        <v>2.5</v>
      </c>
      <c r="D7">
        <v>5</v>
      </c>
      <c r="E7">
        <v>5</v>
      </c>
      <c r="F7" t="s">
        <v>17</v>
      </c>
      <c r="G7" t="s">
        <v>18</v>
      </c>
      <c r="H7" t="s">
        <v>19</v>
      </c>
      <c r="I7" t="b">
        <f>FALSE()</f>
        <v>0</v>
      </c>
      <c r="J7" t="b">
        <f>TRUE()</f>
        <v>1</v>
      </c>
      <c r="K7">
        <v>2.57054072689431E-5</v>
      </c>
      <c r="L7">
        <v>2.28791319847678E-5</v>
      </c>
      <c r="M7">
        <v>2.31034720757351E-5</v>
      </c>
      <c r="N7">
        <v>1.8761690293553399E-5</v>
      </c>
      <c r="O7">
        <v>2.4091097918769102E-5</v>
      </c>
      <c r="P7" t="s">
        <v>21</v>
      </c>
      <c r="Q7">
        <v>2.5</v>
      </c>
    </row>
    <row r="8" spans="1:17" x14ac:dyDescent="0.3">
      <c r="A8">
        <v>250</v>
      </c>
      <c r="B8">
        <v>250</v>
      </c>
      <c r="C8">
        <v>3</v>
      </c>
      <c r="D8">
        <v>5</v>
      </c>
      <c r="E8">
        <v>5</v>
      </c>
      <c r="F8" t="s">
        <v>17</v>
      </c>
      <c r="G8" t="s">
        <v>18</v>
      </c>
      <c r="H8" t="s">
        <v>19</v>
      </c>
      <c r="I8" t="b">
        <f>FALSE()</f>
        <v>0</v>
      </c>
      <c r="J8" t="b">
        <f>TRUE()</f>
        <v>1</v>
      </c>
      <c r="K8">
        <v>1.47122533388558E-6</v>
      </c>
      <c r="L8">
        <v>1.2563302333916501E-6</v>
      </c>
      <c r="M8">
        <v>3.4687036428205998E-6</v>
      </c>
      <c r="N8">
        <v>5.5254612909443196E-6</v>
      </c>
      <c r="O8">
        <v>7.6987075668383299E-6</v>
      </c>
      <c r="P8" t="s">
        <v>21</v>
      </c>
      <c r="Q8">
        <v>3</v>
      </c>
    </row>
    <row r="9" spans="1:17" x14ac:dyDescent="0.3">
      <c r="A9">
        <v>250</v>
      </c>
      <c r="B9">
        <v>250</v>
      </c>
      <c r="C9">
        <v>3.5</v>
      </c>
      <c r="D9">
        <v>5</v>
      </c>
      <c r="E9">
        <v>5</v>
      </c>
      <c r="F9" t="s">
        <v>17</v>
      </c>
      <c r="G9" t="s">
        <v>18</v>
      </c>
      <c r="H9" t="s">
        <v>19</v>
      </c>
      <c r="I9" t="b">
        <f>FALSE()</f>
        <v>0</v>
      </c>
      <c r="J9" t="b">
        <f>TRUE()</f>
        <v>1</v>
      </c>
      <c r="K9">
        <v>6.5413384269804404E-5</v>
      </c>
      <c r="L9">
        <v>5.8857945340916302E-5</v>
      </c>
      <c r="M9">
        <v>5.8128927500658297E-5</v>
      </c>
      <c r="N9">
        <v>4.2860594747898303E-5</v>
      </c>
      <c r="O9">
        <v>5.4713003002671099E-5</v>
      </c>
      <c r="P9" t="s">
        <v>21</v>
      </c>
      <c r="Q9">
        <v>3.5</v>
      </c>
    </row>
    <row r="10" spans="1:17" x14ac:dyDescent="0.3">
      <c r="A10">
        <v>250</v>
      </c>
      <c r="B10">
        <v>250</v>
      </c>
      <c r="C10">
        <v>4</v>
      </c>
      <c r="D10">
        <v>5</v>
      </c>
      <c r="E10">
        <v>5</v>
      </c>
      <c r="F10" t="s">
        <v>17</v>
      </c>
      <c r="G10" t="s">
        <v>18</v>
      </c>
      <c r="H10" t="s">
        <v>19</v>
      </c>
      <c r="I10" t="b">
        <f>FALSE()</f>
        <v>0</v>
      </c>
      <c r="J10" t="b">
        <f>TRUE()</f>
        <v>1</v>
      </c>
      <c r="K10">
        <v>1.8375504906717699E-4</v>
      </c>
      <c r="L10">
        <v>1.6771311405714499E-4</v>
      </c>
      <c r="M10">
        <v>1.62317495392564E-4</v>
      </c>
      <c r="N10">
        <v>1.0788945539040699E-4</v>
      </c>
      <c r="O10">
        <v>1.3526395520307801E-4</v>
      </c>
      <c r="P10" t="s">
        <v>21</v>
      </c>
      <c r="Q10">
        <v>4</v>
      </c>
    </row>
    <row r="11" spans="1:17" x14ac:dyDescent="0.3">
      <c r="A11">
        <v>250</v>
      </c>
      <c r="B11">
        <v>250</v>
      </c>
      <c r="C11">
        <v>5</v>
      </c>
      <c r="D11">
        <v>5</v>
      </c>
      <c r="E11">
        <v>5</v>
      </c>
      <c r="F11" t="s">
        <v>17</v>
      </c>
      <c r="G11" t="s">
        <v>18</v>
      </c>
      <c r="H11" t="s">
        <v>19</v>
      </c>
      <c r="I11" t="b">
        <f>FALSE()</f>
        <v>0</v>
      </c>
      <c r="J11" t="b">
        <f>TRUE()</f>
        <v>1</v>
      </c>
      <c r="K11">
        <v>6.6069214895946504E-4</v>
      </c>
      <c r="L11">
        <v>6.1106337194465705E-4</v>
      </c>
      <c r="M11">
        <v>5.8523870323137599E-4</v>
      </c>
      <c r="N11">
        <v>3.49993463956789E-4</v>
      </c>
      <c r="O11">
        <v>4.50194059073019E-4</v>
      </c>
      <c r="P11" t="s">
        <v>21</v>
      </c>
      <c r="Q11">
        <v>5</v>
      </c>
    </row>
    <row r="12" spans="1:17" x14ac:dyDescent="0.3">
      <c r="A12">
        <v>250</v>
      </c>
      <c r="B12">
        <v>250</v>
      </c>
      <c r="C12">
        <v>7.5</v>
      </c>
      <c r="D12">
        <v>5</v>
      </c>
      <c r="E12">
        <v>5</v>
      </c>
      <c r="F12" t="s">
        <v>17</v>
      </c>
      <c r="G12" t="s">
        <v>18</v>
      </c>
      <c r="H12" t="s">
        <v>19</v>
      </c>
      <c r="I12" t="b">
        <f>FALSE()</f>
        <v>0</v>
      </c>
      <c r="J12" t="b">
        <f>TRUE()</f>
        <v>1</v>
      </c>
      <c r="K12">
        <v>4.4439948988569599E-3</v>
      </c>
      <c r="L12">
        <v>4.1595938270858803E-3</v>
      </c>
      <c r="M12">
        <v>3.9696677612303796E-3</v>
      </c>
      <c r="N12">
        <v>2.1369970232515199E-3</v>
      </c>
      <c r="O12">
        <v>2.9510425138897199E-3</v>
      </c>
      <c r="P12" t="s">
        <v>21</v>
      </c>
      <c r="Q12">
        <v>7.5</v>
      </c>
    </row>
    <row r="13" spans="1:17" x14ac:dyDescent="0.3">
      <c r="A13">
        <v>250</v>
      </c>
      <c r="B13">
        <v>250</v>
      </c>
      <c r="C13">
        <v>10</v>
      </c>
      <c r="D13">
        <v>5</v>
      </c>
      <c r="E13">
        <v>5</v>
      </c>
      <c r="F13" t="s">
        <v>17</v>
      </c>
      <c r="G13" t="s">
        <v>18</v>
      </c>
      <c r="H13" t="s">
        <v>19</v>
      </c>
      <c r="I13" t="b">
        <f>FALSE()</f>
        <v>0</v>
      </c>
      <c r="J13" t="b">
        <f>TRUE()</f>
        <v>1</v>
      </c>
      <c r="K13">
        <v>1.54769115201677E-2</v>
      </c>
      <c r="L13">
        <v>1.44939298044702E-2</v>
      </c>
      <c r="M13">
        <v>1.38307419797604E-2</v>
      </c>
      <c r="N13">
        <v>7.3463570649853803E-3</v>
      </c>
      <c r="O13">
        <v>1.01671515768422E-2</v>
      </c>
      <c r="P13" t="s">
        <v>21</v>
      </c>
      <c r="Q13">
        <v>10</v>
      </c>
    </row>
    <row r="14" spans="1:17" x14ac:dyDescent="0.3">
      <c r="A14">
        <v>250</v>
      </c>
      <c r="B14">
        <v>250</v>
      </c>
      <c r="C14">
        <v>15</v>
      </c>
      <c r="D14">
        <v>5</v>
      </c>
      <c r="E14">
        <v>5</v>
      </c>
      <c r="F14" t="s">
        <v>17</v>
      </c>
      <c r="G14" t="s">
        <v>18</v>
      </c>
      <c r="H14" t="s">
        <v>19</v>
      </c>
      <c r="I14" t="b">
        <f>FALSE()</f>
        <v>0</v>
      </c>
      <c r="J14" t="b">
        <f>TRUE()</f>
        <v>1</v>
      </c>
      <c r="K14">
        <v>8.9155350812837805E-2</v>
      </c>
      <c r="L14">
        <v>8.3072615669079003E-2</v>
      </c>
      <c r="M14">
        <v>7.9287485336767299E-2</v>
      </c>
      <c r="N14">
        <v>4.1366337392745103E-2</v>
      </c>
      <c r="O14">
        <v>5.46908242329349E-2</v>
      </c>
      <c r="P14" t="s">
        <v>21</v>
      </c>
      <c r="Q14">
        <v>15</v>
      </c>
    </row>
    <row r="15" spans="1:17" x14ac:dyDescent="0.3">
      <c r="A15">
        <v>250</v>
      </c>
      <c r="B15">
        <v>250</v>
      </c>
      <c r="C15">
        <v>20</v>
      </c>
      <c r="D15">
        <v>5</v>
      </c>
      <c r="E15">
        <v>5</v>
      </c>
      <c r="F15" t="s">
        <v>17</v>
      </c>
      <c r="G15" t="s">
        <v>18</v>
      </c>
      <c r="H15" t="s">
        <v>19</v>
      </c>
      <c r="I15" t="b">
        <f>FALSE()</f>
        <v>0</v>
      </c>
      <c r="J15" t="b">
        <f>TRUE()</f>
        <v>1</v>
      </c>
      <c r="K15">
        <v>0.35284030511297898</v>
      </c>
      <c r="L15">
        <v>0.32870163768949501</v>
      </c>
      <c r="M15">
        <v>0.31372848708718798</v>
      </c>
      <c r="N15">
        <v>0.13543882928382101</v>
      </c>
      <c r="O15">
        <v>0.17645547815648399</v>
      </c>
      <c r="P15" t="s">
        <v>21</v>
      </c>
      <c r="Q15">
        <v>20</v>
      </c>
    </row>
    <row r="16" spans="1:17" x14ac:dyDescent="0.3">
      <c r="A16">
        <v>250</v>
      </c>
      <c r="B16">
        <v>250</v>
      </c>
      <c r="C16">
        <v>30</v>
      </c>
      <c r="D16">
        <v>5</v>
      </c>
      <c r="E16">
        <v>5</v>
      </c>
      <c r="F16" t="s">
        <v>17</v>
      </c>
      <c r="G16" t="s">
        <v>18</v>
      </c>
      <c r="H16" t="s">
        <v>19</v>
      </c>
      <c r="I16" t="b">
        <f>FALSE()</f>
        <v>0</v>
      </c>
      <c r="J16" t="b">
        <f>TRUE()</f>
        <v>1</v>
      </c>
      <c r="K16">
        <v>4.9376817417555499</v>
      </c>
      <c r="L16">
        <v>4.6262968828941204</v>
      </c>
      <c r="M16">
        <v>4.4147375150848598</v>
      </c>
      <c r="N16">
        <v>0.70187103675585905</v>
      </c>
      <c r="O16">
        <v>0.90524783514351104</v>
      </c>
      <c r="P16" t="s">
        <v>21</v>
      </c>
      <c r="Q16">
        <v>30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"/>
  <sheetViews>
    <sheetView zoomScaleNormal="100" workbookViewId="0"/>
  </sheetViews>
  <sheetFormatPr defaultColWidth="8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250</v>
      </c>
      <c r="B2">
        <v>250</v>
      </c>
      <c r="C2">
        <v>4</v>
      </c>
      <c r="D2">
        <v>5</v>
      </c>
      <c r="E2">
        <v>5</v>
      </c>
      <c r="F2" t="s">
        <v>17</v>
      </c>
      <c r="G2" t="s">
        <v>18</v>
      </c>
      <c r="H2" t="s">
        <v>19</v>
      </c>
      <c r="I2" t="b">
        <f>FALSE()</f>
        <v>0</v>
      </c>
      <c r="J2" t="b">
        <f>TRUE()</f>
        <v>1</v>
      </c>
      <c r="K2">
        <v>1.8375504906717699E-4</v>
      </c>
      <c r="L2">
        <v>1.6771311405714499E-4</v>
      </c>
      <c r="M2">
        <v>1.62317495392564E-4</v>
      </c>
      <c r="N2">
        <v>1.0788945539040699E-4</v>
      </c>
      <c r="O2">
        <v>1.3526395520307801E-4</v>
      </c>
      <c r="P2" t="s">
        <v>3</v>
      </c>
      <c r="Q2">
        <v>5</v>
      </c>
    </row>
    <row r="3" spans="1:17" x14ac:dyDescent="0.3">
      <c r="A3">
        <v>250</v>
      </c>
      <c r="B3">
        <v>250</v>
      </c>
      <c r="C3">
        <v>4</v>
      </c>
      <c r="D3">
        <v>7</v>
      </c>
      <c r="E3">
        <v>5</v>
      </c>
      <c r="F3" t="s">
        <v>17</v>
      </c>
      <c r="G3" t="s">
        <v>18</v>
      </c>
      <c r="H3" t="s">
        <v>19</v>
      </c>
      <c r="I3" t="b">
        <f>FALSE()</f>
        <v>0</v>
      </c>
      <c r="J3" t="b">
        <f>TRUE()</f>
        <v>1</v>
      </c>
      <c r="K3">
        <v>1.8371429066687701E-4</v>
      </c>
      <c r="L3">
        <v>1.6767447434959501E-4</v>
      </c>
      <c r="M3">
        <v>1.6227973850776E-4</v>
      </c>
      <c r="N3">
        <v>1.07867459763692E-4</v>
      </c>
      <c r="O3">
        <v>1.35235590158523E-4</v>
      </c>
      <c r="P3" t="s">
        <v>3</v>
      </c>
      <c r="Q3">
        <v>7</v>
      </c>
    </row>
    <row r="4" spans="1:17" x14ac:dyDescent="0.3">
      <c r="A4">
        <v>250</v>
      </c>
      <c r="B4">
        <v>250</v>
      </c>
      <c r="C4">
        <v>4</v>
      </c>
      <c r="D4">
        <v>10</v>
      </c>
      <c r="E4">
        <v>5</v>
      </c>
      <c r="F4" t="s">
        <v>17</v>
      </c>
      <c r="G4" t="s">
        <v>18</v>
      </c>
      <c r="H4" t="s">
        <v>19</v>
      </c>
      <c r="I4" t="b">
        <f>FALSE()</f>
        <v>0</v>
      </c>
      <c r="J4" t="b">
        <f>TRUE()</f>
        <v>1</v>
      </c>
      <c r="K4">
        <v>5.4918650970976995E-4</v>
      </c>
      <c r="L4">
        <v>4.9747226209585901E-4</v>
      </c>
      <c r="M4">
        <v>4.7735105683887003E-4</v>
      </c>
      <c r="N4">
        <v>3.3305917584312898E-4</v>
      </c>
      <c r="O4">
        <v>3.7277662806527E-4</v>
      </c>
      <c r="P4" t="s">
        <v>3</v>
      </c>
      <c r="Q4">
        <v>10</v>
      </c>
    </row>
    <row r="5" spans="1:17" x14ac:dyDescent="0.3">
      <c r="A5">
        <v>250</v>
      </c>
      <c r="B5">
        <v>250</v>
      </c>
      <c r="C5">
        <v>4</v>
      </c>
      <c r="D5">
        <v>15</v>
      </c>
      <c r="E5">
        <v>5</v>
      </c>
      <c r="F5" t="s">
        <v>17</v>
      </c>
      <c r="G5" t="s">
        <v>18</v>
      </c>
      <c r="H5" t="s">
        <v>19</v>
      </c>
      <c r="I5" t="b">
        <f>FALSE()</f>
        <v>0</v>
      </c>
      <c r="J5" t="b">
        <f>TRUE()</f>
        <v>1</v>
      </c>
      <c r="K5">
        <v>1.6419758424240399E-2</v>
      </c>
      <c r="L5">
        <v>6.0057385887189001E-3</v>
      </c>
      <c r="M5">
        <v>1.0744697527412E-2</v>
      </c>
      <c r="N5">
        <v>5.56316385029616E-4</v>
      </c>
      <c r="O5">
        <v>3.9236541366676403E-4</v>
      </c>
      <c r="P5" t="s">
        <v>3</v>
      </c>
      <c r="Q5">
        <v>15</v>
      </c>
    </row>
    <row r="6" spans="1:17" x14ac:dyDescent="0.3">
      <c r="A6">
        <v>250</v>
      </c>
      <c r="B6">
        <v>250</v>
      </c>
      <c r="C6">
        <v>4</v>
      </c>
      <c r="D6">
        <v>20</v>
      </c>
      <c r="E6">
        <v>5</v>
      </c>
      <c r="F6" t="s">
        <v>17</v>
      </c>
      <c r="G6" t="s">
        <v>18</v>
      </c>
      <c r="H6" t="s">
        <v>19</v>
      </c>
      <c r="I6" t="b">
        <f>FALSE()</f>
        <v>0</v>
      </c>
      <c r="J6" t="b">
        <f>TRUE()</f>
        <v>1</v>
      </c>
      <c r="K6">
        <v>2.8872129115533598E-3</v>
      </c>
      <c r="L6">
        <v>9.6287972521771198E-4</v>
      </c>
      <c r="M6">
        <v>2.6551403409213001E-3</v>
      </c>
      <c r="N6">
        <v>2.7590744040332398E-4</v>
      </c>
      <c r="O6">
        <v>3.3714558195213602E-4</v>
      </c>
      <c r="P6" t="s">
        <v>3</v>
      </c>
      <c r="Q6">
        <v>20</v>
      </c>
    </row>
    <row r="7" spans="1:17" x14ac:dyDescent="0.3">
      <c r="A7">
        <v>250</v>
      </c>
      <c r="B7">
        <v>250</v>
      </c>
      <c r="C7">
        <v>4</v>
      </c>
      <c r="D7">
        <v>25</v>
      </c>
      <c r="E7">
        <v>5</v>
      </c>
      <c r="F7" t="s">
        <v>17</v>
      </c>
      <c r="G7" t="s">
        <v>18</v>
      </c>
      <c r="H7" t="s">
        <v>19</v>
      </c>
      <c r="I7" t="b">
        <f>FALSE()</f>
        <v>0</v>
      </c>
      <c r="J7" t="b">
        <f>TRUE()</f>
        <v>1</v>
      </c>
      <c r="K7">
        <v>1.2546885750994901E-4</v>
      </c>
      <c r="L7">
        <v>1.03230430760974E-4</v>
      </c>
      <c r="M7">
        <v>1.7283395739674801E-4</v>
      </c>
      <c r="N7">
        <v>2.6006240953534799E-4</v>
      </c>
      <c r="O7">
        <v>3.41582041283914E-4</v>
      </c>
      <c r="P7" t="s">
        <v>3</v>
      </c>
      <c r="Q7">
        <v>25</v>
      </c>
    </row>
    <row r="8" spans="1:17" x14ac:dyDescent="0.3">
      <c r="A8">
        <v>250</v>
      </c>
      <c r="B8">
        <v>250</v>
      </c>
      <c r="C8">
        <v>4</v>
      </c>
      <c r="D8">
        <v>40</v>
      </c>
      <c r="E8">
        <v>5</v>
      </c>
      <c r="F8" t="s">
        <v>17</v>
      </c>
      <c r="G8" t="s">
        <v>18</v>
      </c>
      <c r="H8" t="s">
        <v>19</v>
      </c>
      <c r="I8" t="b">
        <f>FALSE()</f>
        <v>0</v>
      </c>
      <c r="J8" t="b">
        <f>TRUE()</f>
        <v>1</v>
      </c>
      <c r="K8">
        <v>1.05810078739274E-3</v>
      </c>
      <c r="L8">
        <v>2.9692780163990902E-4</v>
      </c>
      <c r="M8">
        <v>4.6030402483279601E-4</v>
      </c>
      <c r="N8">
        <v>3.9177531682350403E-5</v>
      </c>
      <c r="O8">
        <v>3.1795769458342701E-5</v>
      </c>
      <c r="P8" t="s">
        <v>3</v>
      </c>
      <c r="Q8">
        <v>40</v>
      </c>
    </row>
    <row r="9" spans="1:17" x14ac:dyDescent="0.3">
      <c r="A9">
        <v>250</v>
      </c>
      <c r="B9">
        <v>250</v>
      </c>
      <c r="C9">
        <v>4</v>
      </c>
      <c r="D9">
        <v>50</v>
      </c>
      <c r="E9">
        <v>5</v>
      </c>
      <c r="F9" t="s">
        <v>17</v>
      </c>
      <c r="G9" t="s">
        <v>18</v>
      </c>
      <c r="H9" t="s">
        <v>19</v>
      </c>
      <c r="I9" t="b">
        <f>FALSE()</f>
        <v>0</v>
      </c>
      <c r="J9" t="b">
        <f>TRUE()</f>
        <v>1</v>
      </c>
      <c r="K9">
        <v>1.07585253087442E-4</v>
      </c>
      <c r="L9">
        <v>3.8445638005266099E-5</v>
      </c>
      <c r="M9">
        <v>6.8921945078560996E-5</v>
      </c>
      <c r="N9">
        <v>1.6169988666580099E-4</v>
      </c>
      <c r="O9">
        <v>2.59250489128654E-5</v>
      </c>
      <c r="P9" t="s">
        <v>3</v>
      </c>
      <c r="Q9">
        <v>50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"/>
  <sheetViews>
    <sheetView zoomScaleNormal="100" workbookViewId="0"/>
  </sheetViews>
  <sheetFormatPr defaultColWidth="8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250</v>
      </c>
      <c r="B2">
        <v>250</v>
      </c>
      <c r="C2">
        <v>4</v>
      </c>
      <c r="D2">
        <v>5</v>
      </c>
      <c r="E2">
        <v>5</v>
      </c>
      <c r="F2" t="s">
        <v>17</v>
      </c>
      <c r="G2" t="s">
        <v>18</v>
      </c>
      <c r="H2" t="s">
        <v>19</v>
      </c>
      <c r="I2" t="b">
        <f>FALSE()</f>
        <v>0</v>
      </c>
      <c r="J2" t="b">
        <f>TRUE()</f>
        <v>1</v>
      </c>
      <c r="K2">
        <v>1.8375504906717699E-4</v>
      </c>
      <c r="L2">
        <v>1.6771311405714499E-4</v>
      </c>
      <c r="M2">
        <v>1.62317495392564E-4</v>
      </c>
      <c r="N2">
        <v>1.0788945539040699E-4</v>
      </c>
      <c r="O2">
        <v>1.3526395520307801E-4</v>
      </c>
      <c r="P2" t="s">
        <v>4</v>
      </c>
      <c r="Q2">
        <v>5</v>
      </c>
    </row>
    <row r="3" spans="1:17" x14ac:dyDescent="0.3">
      <c r="A3">
        <v>250</v>
      </c>
      <c r="B3">
        <v>250</v>
      </c>
      <c r="C3">
        <v>4</v>
      </c>
      <c r="D3">
        <v>5</v>
      </c>
      <c r="E3">
        <v>6</v>
      </c>
      <c r="F3" t="s">
        <v>17</v>
      </c>
      <c r="G3" t="s">
        <v>18</v>
      </c>
      <c r="H3" t="s">
        <v>19</v>
      </c>
      <c r="I3" t="b">
        <f>FALSE()</f>
        <v>0</v>
      </c>
      <c r="J3" t="b">
        <f>TRUE()</f>
        <v>1</v>
      </c>
      <c r="K3">
        <v>1.83761359453723E-4</v>
      </c>
      <c r="L3">
        <v>1.6771897748273399E-4</v>
      </c>
      <c r="M3">
        <v>1.62322991371186E-4</v>
      </c>
      <c r="N3">
        <v>1.07892417576515E-4</v>
      </c>
      <c r="O3">
        <v>1.3526749913343901E-4</v>
      </c>
      <c r="P3" t="s">
        <v>4</v>
      </c>
      <c r="Q3">
        <v>6</v>
      </c>
    </row>
    <row r="4" spans="1:17" x14ac:dyDescent="0.3">
      <c r="A4">
        <v>250</v>
      </c>
      <c r="B4">
        <v>250</v>
      </c>
      <c r="C4">
        <v>4</v>
      </c>
      <c r="D4">
        <v>5</v>
      </c>
      <c r="E4">
        <v>7</v>
      </c>
      <c r="F4" t="s">
        <v>17</v>
      </c>
      <c r="G4" t="s">
        <v>18</v>
      </c>
      <c r="H4" t="s">
        <v>19</v>
      </c>
      <c r="I4" t="b">
        <f>FALSE()</f>
        <v>0</v>
      </c>
      <c r="J4" t="b">
        <f>TRUE()</f>
        <v>1</v>
      </c>
      <c r="K4">
        <v>1.8376157943690501E-4</v>
      </c>
      <c r="L4">
        <v>1.6771924096009E-4</v>
      </c>
      <c r="M4">
        <v>1.62323243995063E-4</v>
      </c>
      <c r="N4">
        <v>1.07892322563007E-4</v>
      </c>
      <c r="O4">
        <v>1.35267695860056E-4</v>
      </c>
      <c r="P4" t="s">
        <v>4</v>
      </c>
      <c r="Q4">
        <v>7</v>
      </c>
    </row>
    <row r="5" spans="1:17" x14ac:dyDescent="0.3">
      <c r="A5">
        <v>250</v>
      </c>
      <c r="B5">
        <v>250</v>
      </c>
      <c r="C5">
        <v>4</v>
      </c>
      <c r="D5">
        <v>5</v>
      </c>
      <c r="E5">
        <v>8</v>
      </c>
      <c r="F5" t="s">
        <v>17</v>
      </c>
      <c r="G5" t="s">
        <v>18</v>
      </c>
      <c r="H5" t="s">
        <v>19</v>
      </c>
      <c r="I5" t="b">
        <f>FALSE()</f>
        <v>0</v>
      </c>
      <c r="J5" t="b">
        <f>TRUE()</f>
        <v>1</v>
      </c>
      <c r="K5">
        <v>1.8376150763503601E-4</v>
      </c>
      <c r="L5">
        <v>1.6771910694367699E-4</v>
      </c>
      <c r="M5">
        <v>1.6232313795483001E-4</v>
      </c>
      <c r="N5">
        <v>1.07892394288606E-4</v>
      </c>
      <c r="O5">
        <v>1.3526774455907599E-4</v>
      </c>
      <c r="P5" t="s">
        <v>4</v>
      </c>
      <c r="Q5">
        <v>8</v>
      </c>
    </row>
    <row r="6" spans="1:17" x14ac:dyDescent="0.3">
      <c r="A6">
        <v>250</v>
      </c>
      <c r="B6">
        <v>250</v>
      </c>
      <c r="C6">
        <v>4</v>
      </c>
      <c r="D6">
        <v>5</v>
      </c>
      <c r="E6">
        <v>9</v>
      </c>
      <c r="F6" t="s">
        <v>17</v>
      </c>
      <c r="G6" t="s">
        <v>18</v>
      </c>
      <c r="H6" t="s">
        <v>19</v>
      </c>
      <c r="I6" t="b">
        <f>FALSE()</f>
        <v>0</v>
      </c>
      <c r="J6" t="b">
        <f>TRUE()</f>
        <v>1</v>
      </c>
      <c r="K6">
        <v>1.8376490395345099E-4</v>
      </c>
      <c r="L6">
        <v>1.6772230263907301E-4</v>
      </c>
      <c r="M6">
        <v>1.6232613599294701E-4</v>
      </c>
      <c r="N6">
        <v>1.07894023490809E-4</v>
      </c>
      <c r="O6">
        <v>1.35269693359357E-4</v>
      </c>
      <c r="P6" t="s">
        <v>4</v>
      </c>
      <c r="Q6">
        <v>9</v>
      </c>
    </row>
    <row r="7" spans="1:17" x14ac:dyDescent="0.3">
      <c r="A7">
        <v>250</v>
      </c>
      <c r="B7">
        <v>250</v>
      </c>
      <c r="C7">
        <v>4</v>
      </c>
      <c r="D7">
        <v>5</v>
      </c>
      <c r="E7">
        <v>10</v>
      </c>
      <c r="F7" t="s">
        <v>17</v>
      </c>
      <c r="G7" t="s">
        <v>18</v>
      </c>
      <c r="H7" t="s">
        <v>19</v>
      </c>
      <c r="I7" t="b">
        <f>FALSE()</f>
        <v>0</v>
      </c>
      <c r="J7" t="b">
        <f>TRUE()</f>
        <v>1</v>
      </c>
      <c r="K7">
        <v>1.8376728932995099E-4</v>
      </c>
      <c r="L7">
        <v>1.6772447810561701E-4</v>
      </c>
      <c r="M7">
        <v>1.62328178364312E-4</v>
      </c>
      <c r="N7">
        <v>1.07895018338408E-4</v>
      </c>
      <c r="O7">
        <v>1.3527102967019001E-4</v>
      </c>
      <c r="P7" t="s">
        <v>4</v>
      </c>
      <c r="Q7">
        <v>10</v>
      </c>
    </row>
    <row r="8" spans="1:17" x14ac:dyDescent="0.3">
      <c r="A8">
        <v>250</v>
      </c>
      <c r="B8">
        <v>250</v>
      </c>
      <c r="C8">
        <v>4</v>
      </c>
      <c r="D8">
        <v>5</v>
      </c>
      <c r="E8">
        <v>11</v>
      </c>
      <c r="F8" t="s">
        <v>17</v>
      </c>
      <c r="G8" t="s">
        <v>18</v>
      </c>
      <c r="H8" t="s">
        <v>19</v>
      </c>
      <c r="I8" t="b">
        <f>FALSE()</f>
        <v>0</v>
      </c>
      <c r="J8" t="b">
        <f>TRUE()</f>
        <v>1</v>
      </c>
      <c r="K8">
        <v>1.83758578587218E-4</v>
      </c>
      <c r="L8">
        <v>1.67716255115161E-4</v>
      </c>
      <c r="M8">
        <v>1.6232048967597501E-4</v>
      </c>
      <c r="N8">
        <v>1.0789118426392699E-4</v>
      </c>
      <c r="O8">
        <v>1.35266185374877E-4</v>
      </c>
      <c r="P8" t="s">
        <v>4</v>
      </c>
      <c r="Q8">
        <v>11</v>
      </c>
    </row>
    <row r="9" spans="1:17" x14ac:dyDescent="0.3">
      <c r="A9">
        <v>250</v>
      </c>
      <c r="B9">
        <v>250</v>
      </c>
      <c r="C9">
        <v>4</v>
      </c>
      <c r="D9">
        <v>5</v>
      </c>
      <c r="E9">
        <v>12</v>
      </c>
      <c r="F9" t="s">
        <v>17</v>
      </c>
      <c r="G9" t="s">
        <v>18</v>
      </c>
      <c r="H9" t="s">
        <v>19</v>
      </c>
      <c r="I9" t="b">
        <f>FALSE()</f>
        <v>0</v>
      </c>
      <c r="J9" t="b">
        <f>TRUE()</f>
        <v>1</v>
      </c>
      <c r="K9">
        <v>1.83765239923426E-4</v>
      </c>
      <c r="L9">
        <v>1.6772266864328701E-4</v>
      </c>
      <c r="M9">
        <v>1.62326492555307E-4</v>
      </c>
      <c r="N9">
        <v>1.0789418417541801E-4</v>
      </c>
      <c r="O9">
        <v>1.35270003976E-4</v>
      </c>
      <c r="P9" t="s">
        <v>4</v>
      </c>
      <c r="Q9">
        <v>12</v>
      </c>
    </row>
    <row r="10" spans="1:17" x14ac:dyDescent="0.3">
      <c r="A10">
        <v>250</v>
      </c>
      <c r="B10">
        <v>250</v>
      </c>
      <c r="C10">
        <v>4</v>
      </c>
      <c r="D10">
        <v>5</v>
      </c>
      <c r="E10">
        <v>13</v>
      </c>
      <c r="F10" t="s">
        <v>17</v>
      </c>
      <c r="G10" t="s">
        <v>18</v>
      </c>
      <c r="H10" t="s">
        <v>19</v>
      </c>
      <c r="I10" t="b">
        <f>FALSE()</f>
        <v>0</v>
      </c>
      <c r="J10" t="b">
        <f>TRUE()</f>
        <v>1</v>
      </c>
      <c r="K10">
        <v>1.8376498358889401E-4</v>
      </c>
      <c r="L10">
        <v>1.6772233186105001E-4</v>
      </c>
      <c r="M10">
        <v>1.6232617944870201E-4</v>
      </c>
      <c r="N10">
        <v>1.07894037929421E-4</v>
      </c>
      <c r="O10">
        <v>1.35269817441623E-4</v>
      </c>
      <c r="P10" t="s">
        <v>4</v>
      </c>
      <c r="Q10">
        <v>13</v>
      </c>
    </row>
    <row r="11" spans="1:17" x14ac:dyDescent="0.3">
      <c r="A11">
        <v>250</v>
      </c>
      <c r="B11">
        <v>250</v>
      </c>
      <c r="C11">
        <v>4</v>
      </c>
      <c r="D11">
        <v>5</v>
      </c>
      <c r="E11">
        <v>14</v>
      </c>
      <c r="F11" t="s">
        <v>17</v>
      </c>
      <c r="G11" t="s">
        <v>18</v>
      </c>
      <c r="H11" t="s">
        <v>19</v>
      </c>
      <c r="I11" t="b">
        <f>FALSE()</f>
        <v>0</v>
      </c>
      <c r="J11" t="b">
        <f>TRUE()</f>
        <v>1</v>
      </c>
      <c r="K11">
        <v>1.8376457937122699E-4</v>
      </c>
      <c r="L11">
        <v>1.6772183908464699E-4</v>
      </c>
      <c r="M11">
        <v>1.6232572330787299E-4</v>
      </c>
      <c r="N11">
        <v>1.07893774313228E-4</v>
      </c>
      <c r="O11">
        <v>1.3526955772506799E-4</v>
      </c>
      <c r="P11" t="s">
        <v>4</v>
      </c>
      <c r="Q11">
        <v>14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4"/>
  <sheetViews>
    <sheetView zoomScaleNormal="100" workbookViewId="0"/>
  </sheetViews>
  <sheetFormatPr defaultColWidth="8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250</v>
      </c>
      <c r="B2">
        <v>250</v>
      </c>
      <c r="C2">
        <v>4</v>
      </c>
      <c r="D2">
        <v>5</v>
      </c>
      <c r="E2">
        <v>5</v>
      </c>
      <c r="F2" t="s">
        <v>17</v>
      </c>
      <c r="G2" t="s">
        <v>22</v>
      </c>
      <c r="H2" t="s">
        <v>19</v>
      </c>
      <c r="I2" t="b">
        <f>FALSE()</f>
        <v>0</v>
      </c>
      <c r="J2" t="b">
        <f>TRUE()</f>
        <v>1</v>
      </c>
      <c r="K2">
        <v>6.2807716054110696E-5</v>
      </c>
      <c r="L2">
        <v>4.9300861894460098E-5</v>
      </c>
      <c r="M2">
        <v>5.61481960043733E-5</v>
      </c>
      <c r="N2">
        <v>5.6162195074152397E-5</v>
      </c>
      <c r="O2">
        <v>7.0415008917686098E-5</v>
      </c>
      <c r="P2" t="s">
        <v>23</v>
      </c>
      <c r="Q2" t="s">
        <v>22</v>
      </c>
    </row>
    <row r="3" spans="1:17" x14ac:dyDescent="0.3">
      <c r="A3">
        <v>250</v>
      </c>
      <c r="B3">
        <v>250</v>
      </c>
      <c r="C3">
        <v>4</v>
      </c>
      <c r="D3">
        <v>5</v>
      </c>
      <c r="E3">
        <v>5</v>
      </c>
      <c r="F3" t="s">
        <v>17</v>
      </c>
      <c r="G3" t="s">
        <v>24</v>
      </c>
      <c r="H3" t="s">
        <v>19</v>
      </c>
      <c r="I3" t="b">
        <f>FALSE()</f>
        <v>0</v>
      </c>
      <c r="J3" t="b">
        <f>TRUE()</f>
        <v>1</v>
      </c>
      <c r="K3">
        <v>3.1384909641578902E-5</v>
      </c>
      <c r="L3">
        <v>2.48875231072375E-5</v>
      </c>
      <c r="M3">
        <v>4.1135553605162999E-5</v>
      </c>
      <c r="N3">
        <v>4.3192805147138003E-5</v>
      </c>
      <c r="O3">
        <v>6.0157011825624701E-5</v>
      </c>
      <c r="P3" t="s">
        <v>23</v>
      </c>
      <c r="Q3" t="s">
        <v>24</v>
      </c>
    </row>
    <row r="4" spans="1:17" x14ac:dyDescent="0.3">
      <c r="A4">
        <v>250</v>
      </c>
      <c r="B4">
        <v>250</v>
      </c>
      <c r="C4">
        <v>4</v>
      </c>
      <c r="D4">
        <v>5</v>
      </c>
      <c r="E4">
        <v>5</v>
      </c>
      <c r="F4" t="s">
        <v>17</v>
      </c>
      <c r="G4" t="s">
        <v>25</v>
      </c>
      <c r="H4" t="s">
        <v>19</v>
      </c>
      <c r="I4" t="b">
        <f>FALSE()</f>
        <v>0</v>
      </c>
      <c r="J4" t="b">
        <f>TRUE()</f>
        <v>1</v>
      </c>
      <c r="K4">
        <v>1.14774536623571E-4</v>
      </c>
      <c r="L4">
        <v>6.4565324487403502E-5</v>
      </c>
      <c r="M4">
        <v>6.4565324487310396E-5</v>
      </c>
      <c r="N4">
        <v>6.4569494679448498E-5</v>
      </c>
      <c r="O4">
        <v>6.4569493440924403E-5</v>
      </c>
      <c r="P4" t="s">
        <v>23</v>
      </c>
      <c r="Q4" t="s">
        <v>25</v>
      </c>
    </row>
    <row r="5" spans="1:17" x14ac:dyDescent="0.3">
      <c r="A5">
        <v>250</v>
      </c>
      <c r="B5">
        <v>250</v>
      </c>
      <c r="C5">
        <v>4</v>
      </c>
      <c r="D5">
        <v>5</v>
      </c>
      <c r="E5">
        <v>5</v>
      </c>
      <c r="F5" t="s">
        <v>17</v>
      </c>
      <c r="G5" t="s">
        <v>26</v>
      </c>
      <c r="H5" t="s">
        <v>19</v>
      </c>
      <c r="I5" t="b">
        <f>FALSE()</f>
        <v>0</v>
      </c>
      <c r="J5" t="b">
        <f>TRUE()</f>
        <v>1</v>
      </c>
      <c r="K5">
        <v>9.51779191315052E-5</v>
      </c>
      <c r="L5">
        <v>5.3688987968898198E-5</v>
      </c>
      <c r="M5">
        <v>5.7892947962809E-5</v>
      </c>
      <c r="N5">
        <v>6.0065630394359701E-5</v>
      </c>
      <c r="O5">
        <v>6.2395081363247602E-5</v>
      </c>
      <c r="P5" t="s">
        <v>23</v>
      </c>
      <c r="Q5" t="s">
        <v>26</v>
      </c>
    </row>
    <row r="6" spans="1:17" x14ac:dyDescent="0.3">
      <c r="A6">
        <v>250</v>
      </c>
      <c r="B6">
        <v>250</v>
      </c>
      <c r="C6">
        <v>4</v>
      </c>
      <c r="D6">
        <v>5</v>
      </c>
      <c r="E6">
        <v>5</v>
      </c>
      <c r="F6" t="s">
        <v>17</v>
      </c>
      <c r="G6" t="s">
        <v>27</v>
      </c>
      <c r="H6" t="s">
        <v>19</v>
      </c>
      <c r="I6" t="b">
        <f>FALSE()</f>
        <v>0</v>
      </c>
      <c r="J6" t="b">
        <f>TRUE()</f>
        <v>1</v>
      </c>
      <c r="K6">
        <v>6.2806459260768095E-5</v>
      </c>
      <c r="L6">
        <v>4.9299819066030003E-5</v>
      </c>
      <c r="M6">
        <v>5.6147463977516702E-5</v>
      </c>
      <c r="N6">
        <v>5.6162080855632101E-5</v>
      </c>
      <c r="O6">
        <v>7.0414802917621394E-5</v>
      </c>
      <c r="P6" t="s">
        <v>23</v>
      </c>
      <c r="Q6" t="s">
        <v>27</v>
      </c>
    </row>
    <row r="7" spans="1:17" x14ac:dyDescent="0.3">
      <c r="A7">
        <v>250</v>
      </c>
      <c r="B7">
        <v>250</v>
      </c>
      <c r="C7">
        <v>4</v>
      </c>
      <c r="D7">
        <v>5</v>
      </c>
      <c r="E7">
        <v>5</v>
      </c>
      <c r="F7" t="s">
        <v>17</v>
      </c>
      <c r="G7" t="s">
        <v>28</v>
      </c>
      <c r="H7" t="s">
        <v>19</v>
      </c>
      <c r="I7" t="b">
        <f>FALSE()</f>
        <v>0</v>
      </c>
      <c r="J7" t="b">
        <f>TRUE()</f>
        <v>1</v>
      </c>
      <c r="K7">
        <v>1.05188936235153E-4</v>
      </c>
      <c r="L7">
        <v>8.9611774110524603E-5</v>
      </c>
      <c r="M7">
        <v>8.9571634544605405E-5</v>
      </c>
      <c r="N7">
        <v>6.8893344116582105E-5</v>
      </c>
      <c r="O7">
        <v>8.9442969304705906E-5</v>
      </c>
      <c r="P7" t="s">
        <v>23</v>
      </c>
      <c r="Q7" t="s">
        <v>28</v>
      </c>
    </row>
    <row r="8" spans="1:17" x14ac:dyDescent="0.3">
      <c r="A8">
        <v>250</v>
      </c>
      <c r="B8">
        <v>250</v>
      </c>
      <c r="C8">
        <v>4</v>
      </c>
      <c r="D8">
        <v>5</v>
      </c>
      <c r="E8">
        <v>5</v>
      </c>
      <c r="F8" t="s">
        <v>17</v>
      </c>
      <c r="G8" t="s">
        <v>29</v>
      </c>
      <c r="H8" t="s">
        <v>19</v>
      </c>
      <c r="I8" t="b">
        <f>FALSE()</f>
        <v>0</v>
      </c>
      <c r="J8" t="b">
        <f>TRUE()</f>
        <v>1</v>
      </c>
      <c r="K8">
        <v>1.6452945520203501E-4</v>
      </c>
      <c r="L8">
        <v>1.48511048963447E-4</v>
      </c>
      <c r="M8">
        <v>1.44011571261E-4</v>
      </c>
      <c r="N8">
        <v>9.8305451267088504E-5</v>
      </c>
      <c r="O8">
        <v>1.2334737071573499E-4</v>
      </c>
      <c r="P8" t="s">
        <v>23</v>
      </c>
      <c r="Q8" t="s">
        <v>29</v>
      </c>
    </row>
    <row r="9" spans="1:17" x14ac:dyDescent="0.3">
      <c r="A9">
        <v>250</v>
      </c>
      <c r="B9">
        <v>250</v>
      </c>
      <c r="C9">
        <v>4</v>
      </c>
      <c r="D9">
        <v>5</v>
      </c>
      <c r="E9">
        <v>5</v>
      </c>
      <c r="F9" t="s">
        <v>17</v>
      </c>
      <c r="G9" t="s">
        <v>30</v>
      </c>
      <c r="H9" t="s">
        <v>19</v>
      </c>
      <c r="I9" t="b">
        <f>FALSE()</f>
        <v>0</v>
      </c>
      <c r="J9" t="b">
        <f>TRUE()</f>
        <v>1</v>
      </c>
      <c r="K9">
        <v>1.7484165055165599E-4</v>
      </c>
      <c r="L9">
        <v>1.58806788285952E-4</v>
      </c>
      <c r="M9">
        <v>1.5380531625171101E-4</v>
      </c>
      <c r="N9">
        <v>1.0344781610347E-4</v>
      </c>
      <c r="O9">
        <v>1.2969969472382401E-4</v>
      </c>
      <c r="P9" t="s">
        <v>23</v>
      </c>
      <c r="Q9" t="s">
        <v>30</v>
      </c>
    </row>
    <row r="10" spans="1:17" x14ac:dyDescent="0.3">
      <c r="A10">
        <v>250</v>
      </c>
      <c r="B10">
        <v>250</v>
      </c>
      <c r="C10">
        <v>4</v>
      </c>
      <c r="D10">
        <v>5</v>
      </c>
      <c r="E10">
        <v>5</v>
      </c>
      <c r="F10" t="s">
        <v>17</v>
      </c>
      <c r="G10" t="s">
        <v>31</v>
      </c>
      <c r="H10" t="s">
        <v>19</v>
      </c>
      <c r="I10" t="b">
        <f>FALSE()</f>
        <v>0</v>
      </c>
      <c r="J10" t="b">
        <f>TRUE()</f>
        <v>1</v>
      </c>
      <c r="K10">
        <v>1.8375504906717699E-4</v>
      </c>
      <c r="L10">
        <v>1.6771311405714499E-4</v>
      </c>
      <c r="M10">
        <v>1.62317495392564E-4</v>
      </c>
      <c r="N10">
        <v>1.0788945539040699E-4</v>
      </c>
      <c r="O10">
        <v>1.3526395520307801E-4</v>
      </c>
      <c r="P10" t="s">
        <v>23</v>
      </c>
      <c r="Q10" t="s">
        <v>31</v>
      </c>
    </row>
    <row r="11" spans="1:17" x14ac:dyDescent="0.3">
      <c r="A11">
        <v>250</v>
      </c>
      <c r="B11">
        <v>250</v>
      </c>
      <c r="C11">
        <v>4</v>
      </c>
      <c r="D11">
        <v>5</v>
      </c>
      <c r="E11">
        <v>5</v>
      </c>
      <c r="F11" t="s">
        <v>17</v>
      </c>
      <c r="G11" t="s">
        <v>32</v>
      </c>
      <c r="H11" t="s">
        <v>19</v>
      </c>
      <c r="I11" t="b">
        <f>FALSE()</f>
        <v>0</v>
      </c>
      <c r="J11" t="b">
        <f>TRUE()</f>
        <v>1</v>
      </c>
      <c r="K11">
        <v>1.8491423755876601E-4</v>
      </c>
      <c r="L11">
        <v>1.68871781535175E-4</v>
      </c>
      <c r="M11">
        <v>1.6342734348623E-4</v>
      </c>
      <c r="N11">
        <v>1.08466889736022E-4</v>
      </c>
      <c r="O11">
        <v>1.35992144926347E-4</v>
      </c>
      <c r="P11" t="s">
        <v>23</v>
      </c>
      <c r="Q11" t="s">
        <v>32</v>
      </c>
    </row>
    <row r="12" spans="1:17" x14ac:dyDescent="0.3">
      <c r="A12">
        <v>250</v>
      </c>
      <c r="B12">
        <v>250</v>
      </c>
      <c r="C12">
        <v>4</v>
      </c>
      <c r="D12">
        <v>5</v>
      </c>
      <c r="E12">
        <v>5</v>
      </c>
      <c r="F12" t="s">
        <v>17</v>
      </c>
      <c r="G12" t="s">
        <v>33</v>
      </c>
      <c r="H12" t="s">
        <v>19</v>
      </c>
      <c r="I12" t="b">
        <f>FALSE()</f>
        <v>0</v>
      </c>
      <c r="J12" t="b">
        <f>TRUE()</f>
        <v>1</v>
      </c>
      <c r="K12">
        <v>1.8584912995704201E-4</v>
      </c>
      <c r="L12">
        <v>1.6980629024977999E-4</v>
      </c>
      <c r="M12">
        <v>1.64322867282643E-4</v>
      </c>
      <c r="N12">
        <v>1.08932550005048E-4</v>
      </c>
      <c r="O12">
        <v>1.3658014566923801E-4</v>
      </c>
      <c r="P12" t="s">
        <v>23</v>
      </c>
      <c r="Q12" t="s">
        <v>33</v>
      </c>
    </row>
    <row r="13" spans="1:17" x14ac:dyDescent="0.3">
      <c r="A13">
        <v>250</v>
      </c>
      <c r="B13">
        <v>250</v>
      </c>
      <c r="C13">
        <v>4</v>
      </c>
      <c r="D13">
        <v>5</v>
      </c>
      <c r="E13">
        <v>5</v>
      </c>
      <c r="F13" t="s">
        <v>17</v>
      </c>
      <c r="G13" t="s">
        <v>34</v>
      </c>
      <c r="H13" t="s">
        <v>19</v>
      </c>
      <c r="I13" t="b">
        <f>FALSE()</f>
        <v>0</v>
      </c>
      <c r="J13" t="b">
        <f>TRUE()</f>
        <v>1</v>
      </c>
      <c r="K13">
        <v>1.8596648733348E-4</v>
      </c>
      <c r="L13">
        <v>1.6992358301630501E-4</v>
      </c>
      <c r="M13">
        <v>1.6443529122860299E-4</v>
      </c>
      <c r="N13">
        <v>1.0899098983272999E-4</v>
      </c>
      <c r="O13">
        <v>1.36653990262249E-4</v>
      </c>
      <c r="P13" t="s">
        <v>23</v>
      </c>
      <c r="Q13" t="s">
        <v>34</v>
      </c>
    </row>
    <row r="14" spans="1:17" x14ac:dyDescent="0.3">
      <c r="A14">
        <v>250</v>
      </c>
      <c r="B14">
        <v>250</v>
      </c>
      <c r="C14">
        <v>4</v>
      </c>
      <c r="D14">
        <v>5</v>
      </c>
      <c r="E14">
        <v>5</v>
      </c>
      <c r="F14" t="s">
        <v>17</v>
      </c>
      <c r="G14" t="s">
        <v>35</v>
      </c>
      <c r="H14" t="s">
        <v>19</v>
      </c>
      <c r="I14" t="b">
        <f>FALSE()</f>
        <v>0</v>
      </c>
      <c r="J14" t="b">
        <f>TRUE()</f>
        <v>1</v>
      </c>
      <c r="K14">
        <v>1.8606047474693099E-4</v>
      </c>
      <c r="L14">
        <v>1.7001749248391699E-4</v>
      </c>
      <c r="M14">
        <v>1.6452530642203E-4</v>
      </c>
      <c r="N14">
        <v>1.09037781656438E-4</v>
      </c>
      <c r="O14">
        <v>1.36713120216543E-4</v>
      </c>
      <c r="P14" t="s">
        <v>23</v>
      </c>
      <c r="Q14" t="s">
        <v>35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"/>
  <sheetViews>
    <sheetView zoomScaleNormal="100" workbookViewId="0"/>
  </sheetViews>
  <sheetFormatPr defaultColWidth="8.664062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250</v>
      </c>
      <c r="B2">
        <v>250</v>
      </c>
      <c r="C2">
        <v>4</v>
      </c>
      <c r="D2">
        <v>5</v>
      </c>
      <c r="E2">
        <v>5</v>
      </c>
      <c r="F2" t="s">
        <v>17</v>
      </c>
      <c r="G2" t="s">
        <v>18</v>
      </c>
      <c r="H2" t="s">
        <v>36</v>
      </c>
      <c r="I2" t="b">
        <f>FALSE()</f>
        <v>0</v>
      </c>
      <c r="J2" t="b">
        <f>TRUE()</f>
        <v>1</v>
      </c>
      <c r="K2">
        <v>1.8375771635120299E-4</v>
      </c>
      <c r="L2">
        <v>1.67715578199433E-4</v>
      </c>
      <c r="M2">
        <v>1.6231982306398599E-4</v>
      </c>
      <c r="N2">
        <v>1.07890443710193E-4</v>
      </c>
      <c r="O2">
        <v>1.3526539475513399E-4</v>
      </c>
      <c r="P2" t="s">
        <v>37</v>
      </c>
      <c r="Q2" t="s">
        <v>36</v>
      </c>
    </row>
    <row r="3" spans="1:17" x14ac:dyDescent="0.3">
      <c r="A3">
        <v>250</v>
      </c>
      <c r="B3">
        <v>250</v>
      </c>
      <c r="C3">
        <v>4</v>
      </c>
      <c r="D3">
        <v>5</v>
      </c>
      <c r="E3">
        <v>5</v>
      </c>
      <c r="F3" t="s">
        <v>17</v>
      </c>
      <c r="G3" t="s">
        <v>18</v>
      </c>
      <c r="H3" t="s">
        <v>38</v>
      </c>
      <c r="I3" t="b">
        <f>FALSE()</f>
        <v>0</v>
      </c>
      <c r="J3" t="b">
        <f>TRUE()</f>
        <v>1</v>
      </c>
      <c r="K3">
        <v>0.57866911931473297</v>
      </c>
      <c r="L3">
        <v>0.418658170220987</v>
      </c>
      <c r="M3">
        <v>0.49337328663337299</v>
      </c>
      <c r="N3">
        <v>0.61647750935863899</v>
      </c>
      <c r="O3">
        <v>0.55022834685571798</v>
      </c>
      <c r="P3" t="s">
        <v>37</v>
      </c>
      <c r="Q3" t="s">
        <v>38</v>
      </c>
    </row>
    <row r="4" spans="1:17" x14ac:dyDescent="0.3">
      <c r="A4">
        <v>250</v>
      </c>
      <c r="B4">
        <v>250</v>
      </c>
      <c r="C4">
        <v>4</v>
      </c>
      <c r="D4">
        <v>5</v>
      </c>
      <c r="E4">
        <v>5</v>
      </c>
      <c r="F4" t="s">
        <v>17</v>
      </c>
      <c r="G4" t="s">
        <v>18</v>
      </c>
      <c r="H4" t="s">
        <v>39</v>
      </c>
      <c r="I4" t="b">
        <f>FALSE()</f>
        <v>0</v>
      </c>
      <c r="J4" t="b">
        <f>TRUE()</f>
        <v>1</v>
      </c>
      <c r="K4">
        <v>0.63789172339603895</v>
      </c>
      <c r="L4">
        <v>0.48273527676557298</v>
      </c>
      <c r="M4">
        <v>0.47649992649242401</v>
      </c>
      <c r="N4">
        <v>0.59840735573938098</v>
      </c>
      <c r="O4">
        <v>0.51072882711406498</v>
      </c>
      <c r="P4" t="s">
        <v>37</v>
      </c>
      <c r="Q4" t="s">
        <v>39</v>
      </c>
    </row>
    <row r="5" spans="1:17" x14ac:dyDescent="0.3">
      <c r="A5">
        <v>250</v>
      </c>
      <c r="B5">
        <v>250</v>
      </c>
      <c r="C5">
        <v>4</v>
      </c>
      <c r="D5">
        <v>5</v>
      </c>
      <c r="E5">
        <v>5</v>
      </c>
      <c r="F5" t="s">
        <v>17</v>
      </c>
      <c r="G5" t="s">
        <v>18</v>
      </c>
      <c r="H5" t="s">
        <v>40</v>
      </c>
      <c r="I5" t="b">
        <f>FALSE()</f>
        <v>0</v>
      </c>
      <c r="J5" t="b">
        <f>TRUE()</f>
        <v>1</v>
      </c>
      <c r="K5">
        <v>0.578669119262475</v>
      </c>
      <c r="L5">
        <v>0.41865817010704898</v>
      </c>
      <c r="M5">
        <v>0.49337284548569699</v>
      </c>
      <c r="N5">
        <v>0.61647750935878098</v>
      </c>
      <c r="O5">
        <v>0.55022834685717203</v>
      </c>
      <c r="P5" t="s">
        <v>37</v>
      </c>
      <c r="Q5" t="s">
        <v>40</v>
      </c>
    </row>
    <row r="6" spans="1:17" x14ac:dyDescent="0.3">
      <c r="A6">
        <v>250</v>
      </c>
      <c r="B6">
        <v>250</v>
      </c>
      <c r="C6">
        <v>4</v>
      </c>
      <c r="D6">
        <v>5</v>
      </c>
      <c r="E6">
        <v>5</v>
      </c>
      <c r="F6" t="s">
        <v>17</v>
      </c>
      <c r="G6" t="s">
        <v>18</v>
      </c>
      <c r="H6" t="s">
        <v>19</v>
      </c>
      <c r="I6" t="b">
        <f>FALSE()</f>
        <v>0</v>
      </c>
      <c r="J6" t="b">
        <f>TRUE()</f>
        <v>1</v>
      </c>
      <c r="K6">
        <v>1.8375504906717699E-4</v>
      </c>
      <c r="L6">
        <v>1.6771311405714499E-4</v>
      </c>
      <c r="M6">
        <v>1.62317495392564E-4</v>
      </c>
      <c r="N6">
        <v>1.0788945539040699E-4</v>
      </c>
      <c r="O6">
        <v>1.3526395520307801E-4</v>
      </c>
      <c r="P6" t="s">
        <v>37</v>
      </c>
      <c r="Q6" t="s">
        <v>19</v>
      </c>
    </row>
    <row r="7" spans="1:17" x14ac:dyDescent="0.3">
      <c r="A7">
        <v>250</v>
      </c>
      <c r="B7">
        <v>250</v>
      </c>
      <c r="C7">
        <v>4</v>
      </c>
      <c r="D7">
        <v>5</v>
      </c>
      <c r="E7">
        <v>5</v>
      </c>
      <c r="F7" t="s">
        <v>17</v>
      </c>
      <c r="G7" t="s">
        <v>18</v>
      </c>
      <c r="H7" t="s">
        <v>41</v>
      </c>
      <c r="I7" t="b">
        <f>FALSE()</f>
        <v>0</v>
      </c>
      <c r="J7" t="b">
        <f>TRUE()</f>
        <v>1</v>
      </c>
      <c r="K7">
        <v>0.57866911926338405</v>
      </c>
      <c r="L7">
        <v>0.41865817010324902</v>
      </c>
      <c r="M7">
        <v>0.49337318781674</v>
      </c>
      <c r="N7">
        <v>0.61647750935877399</v>
      </c>
      <c r="O7">
        <v>0.55022834685337396</v>
      </c>
      <c r="P7" t="s">
        <v>37</v>
      </c>
      <c r="Q7" t="s">
        <v>41</v>
      </c>
    </row>
    <row r="8" spans="1:17" x14ac:dyDescent="0.3">
      <c r="A8">
        <v>250</v>
      </c>
      <c r="B8">
        <v>250</v>
      </c>
      <c r="C8">
        <v>4</v>
      </c>
      <c r="D8">
        <v>5</v>
      </c>
      <c r="E8">
        <v>5</v>
      </c>
      <c r="F8" t="s">
        <v>17</v>
      </c>
      <c r="G8" t="s">
        <v>18</v>
      </c>
      <c r="H8" t="s">
        <v>42</v>
      </c>
      <c r="I8" t="b">
        <f>FALSE()</f>
        <v>0</v>
      </c>
      <c r="J8" t="b">
        <f>TRUE()</f>
        <v>1</v>
      </c>
      <c r="K8">
        <v>0.63789172340352895</v>
      </c>
      <c r="L8">
        <v>0.482735276759656</v>
      </c>
      <c r="M8">
        <v>0.47650027291885599</v>
      </c>
      <c r="N8">
        <v>0.59840735573939996</v>
      </c>
      <c r="O8">
        <v>0.51072882711047995</v>
      </c>
      <c r="P8" t="s">
        <v>37</v>
      </c>
      <c r="Q8" t="s">
        <v>42</v>
      </c>
    </row>
    <row r="9" spans="1:17" x14ac:dyDescent="0.3">
      <c r="A9">
        <v>250</v>
      </c>
      <c r="B9">
        <v>250</v>
      </c>
      <c r="C9">
        <v>4</v>
      </c>
      <c r="D9">
        <v>5</v>
      </c>
      <c r="E9">
        <v>5</v>
      </c>
      <c r="F9" t="s">
        <v>17</v>
      </c>
      <c r="G9" t="s">
        <v>18</v>
      </c>
      <c r="H9" t="s">
        <v>43</v>
      </c>
      <c r="I9" t="b">
        <f>FALSE()</f>
        <v>0</v>
      </c>
      <c r="J9" t="b">
        <f>TRUE()</f>
        <v>1</v>
      </c>
      <c r="K9">
        <v>0.57866911933125398</v>
      </c>
      <c r="L9">
        <v>0.41865817021670998</v>
      </c>
      <c r="M9">
        <v>0.493373692486197</v>
      </c>
      <c r="N9">
        <v>0.61647750935864198</v>
      </c>
      <c r="O9">
        <v>0.55022834685474498</v>
      </c>
      <c r="P9" t="s">
        <v>37</v>
      </c>
      <c r="Q9" t="s">
        <v>43</v>
      </c>
    </row>
    <row r="10" spans="1:17" x14ac:dyDescent="0.3">
      <c r="A10">
        <v>250</v>
      </c>
      <c r="B10">
        <v>250</v>
      </c>
      <c r="C10">
        <v>4</v>
      </c>
      <c r="D10">
        <v>5</v>
      </c>
      <c r="E10">
        <v>5</v>
      </c>
      <c r="F10" t="s">
        <v>17</v>
      </c>
      <c r="G10" t="s">
        <v>18</v>
      </c>
      <c r="H10" t="s">
        <v>44</v>
      </c>
      <c r="I10" t="b">
        <f>FALSE()</f>
        <v>0</v>
      </c>
      <c r="J10" t="b">
        <f>TRUE()</f>
        <v>1</v>
      </c>
      <c r="K10">
        <v>1.8375771635120299E-4</v>
      </c>
      <c r="L10">
        <v>1.67715578199433E-4</v>
      </c>
      <c r="M10">
        <v>1.62319823063982E-4</v>
      </c>
      <c r="N10">
        <v>1.07890443710193E-4</v>
      </c>
      <c r="O10">
        <v>1.3526539475513399E-4</v>
      </c>
      <c r="P10" t="s">
        <v>37</v>
      </c>
      <c r="Q10" t="s">
        <v>44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Grid Size</vt:lpstr>
      <vt:lpstr>Length Scale</vt:lpstr>
      <vt:lpstr>Stencil Nodes</vt:lpstr>
      <vt:lpstr>Center Rings</vt:lpstr>
      <vt:lpstr>Eigenvalue Ratio</vt:lpstr>
      <vt:lpstr>Eigenvector Angle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Dennis Corraliza</cp:lastModifiedBy>
  <cp:revision>1</cp:revision>
  <dcterms:created xsi:type="dcterms:W3CDTF">2026-07-20T17:30:41Z</dcterms:created>
  <dcterms:modified xsi:type="dcterms:W3CDTF">2026-10-02T04:20:44Z</dcterms:modified>
  <dc:language>en-US</dc:language>
</cp:coreProperties>
</file>