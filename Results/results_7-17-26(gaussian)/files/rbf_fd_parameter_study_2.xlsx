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rid Size" sheetId="1" state="visible" r:id="rId3"/>
    <sheet name="Length Scale" sheetId="2" state="visible" r:id="rId4"/>
    <sheet name="Stencil Nodes" sheetId="3" state="visible" r:id="rId5"/>
    <sheet name="Center Rings" sheetId="4" state="visible" r:id="rId6"/>
    <sheet name="Eigenvalue Ratio" sheetId="5" state="visible" r:id="rId7"/>
    <sheet name="Eigenvector Angl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<sst xmlns="http://schemas.openxmlformats.org/spreadsheetml/2006/main" count="396" uniqueCount="45">
  <si>
    <t xml:space="preserve">Nx</t>
  </si>
  <si>
    <t xml:space="preserve">Ny</t>
  </si>
  <si>
    <t xml:space="preserve">eps</t>
  </si>
  <si>
    <t xml:space="preserve">num_stencil_nodes</t>
  </si>
  <si>
    <t xml:space="preserve">num_rings</t>
  </si>
  <si>
    <t xml:space="preserve">eigenvalue 1</t>
  </si>
  <si>
    <t xml:space="preserve">eigenvalue 2</t>
  </si>
  <si>
    <t xml:space="preserve">radian = r/24</t>
  </si>
  <si>
    <t xml:space="preserve">augmentation</t>
  </si>
  <si>
    <t xml:space="preserve">sparse</t>
  </si>
  <si>
    <t xml:space="preserve">u_exact - u max_error_rel</t>
  </si>
  <si>
    <t xml:space="preserve">u_exact - u l2_error_rel</t>
  </si>
  <si>
    <t xml:space="preserve">energy_error_rel</t>
  </si>
  <si>
    <t xml:space="preserve">Lu_exact - F max_residual_rel</t>
  </si>
  <si>
    <t xml:space="preserve">Lu_exact - F l2_residual_rel</t>
  </si>
  <si>
    <t xml:space="preserve">varied_param</t>
  </si>
  <si>
    <t xml:space="preserve">varied_value</t>
  </si>
  <si>
    <t xml:space="preserve">lambda p: 1e0</t>
  </si>
  <si>
    <t xml:space="preserve">lambda p: 1e-3</t>
  </si>
  <si>
    <t xml:space="preserve">lambda p: 12.0/24.0*np.pi</t>
  </si>
  <si>
    <t xml:space="preserve">N_int</t>
  </si>
  <si>
    <t xml:space="preserve">Inverse Length Scale</t>
  </si>
  <si>
    <t xml:space="preserve">lambda p: 10.0</t>
  </si>
  <si>
    <t xml:space="preserve">eig_2</t>
  </si>
  <si>
    <t xml:space="preserve">lambda p: 5.0</t>
  </si>
  <si>
    <t xml:space="preserve">lambda p: 1.0</t>
  </si>
  <si>
    <t xml:space="preserve">lambda p: 0.5</t>
  </si>
  <si>
    <t xml:space="preserve">lambda p: 0.1</t>
  </si>
  <si>
    <t xml:space="preserve">lambda p: 0.05</t>
  </si>
  <si>
    <t xml:space="preserve">lambda p: 0.01</t>
  </si>
  <si>
    <t xml:space="preserve">lambda p: 0.005</t>
  </si>
  <si>
    <t xml:space="preserve">lambda p: 0.001</t>
  </si>
  <si>
    <t xml:space="preserve">lambda p: 0.0005</t>
  </si>
  <si>
    <t xml:space="preserve">lambda p: 0.0001</t>
  </si>
  <si>
    <t xml:space="preserve">lambda p: 5e-05</t>
  </si>
  <si>
    <t xml:space="preserve">lambda p: 1e-05</t>
  </si>
  <si>
    <t xml:space="preserve">lambda p: 0.0/24.0*np.pi</t>
  </si>
  <si>
    <t xml:space="preserve">angle</t>
  </si>
  <si>
    <t xml:space="preserve">lambda p: 4.0/24.0*np.pi</t>
  </si>
  <si>
    <t xml:space="preserve">lambda p: 6.0/24.0*np.pi</t>
  </si>
  <si>
    <t xml:space="preserve">lambda p: 8.0/24.0*np.pi</t>
  </si>
  <si>
    <t xml:space="preserve">lambda p: 16.0/24.0*np.pi</t>
  </si>
  <si>
    <t xml:space="preserve">lambda p: 18.0/24.0*np.pi</t>
  </si>
  <si>
    <t xml:space="preserve">lambda p: 20.0/24.0*np.pi</t>
  </si>
  <si>
    <t xml:space="preserve">lambda p: 24.0/24.0*np.pi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</si>
</sst>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1F77B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7F0E"/>
      <rgbColor rgb="FF9467BD"/>
      <rgbColor rgb="FF969696"/>
      <rgbColor rgb="FF003366"/>
      <rgbColor rgb="FF2CA02C"/>
      <rgbColor rgb="FF003300"/>
      <rgbColor rgb="FF333300"/>
      <rgbColor rgb="FFD6272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Grid Size: Relative Errors &amp; Residuals vs N_int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'Grid Size'!K1</c:f>
              <c:strCache>
                <c:ptCount val="1"/>
                <c:pt idx="0">
                  <c:v>u_exact - u max_error_rel</c:v>
                </c:pt>
              </c:strCache>
            </c:strRef>
          </c:tx>
          <c:spPr>
            <a:solidFill>
              <a:srgbClr val="1f77b4"/>
            </a:solidFill>
            <a:ln w="20160">
              <a:solidFill>
                <a:srgbClr val="1f77b4"/>
              </a:solidFill>
              <a:round/>
            </a:ln>
          </c:spPr>
          <c:marker>
            <c:symbol val="circle"/>
            <c:size val="6"/>
            <c:spPr>
              <a:solidFill>
                <a:srgbClr val="1f77b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'Grid Size'!$Q$2:$Q$14</c:f>
              <c:numCache>
                <c:formatCode>General</c:formatCode>
                <c:ptCount val="13"/>
                <c:pt idx="0">
                  <c:v>20</c:v>
                </c:pt>
                <c:pt idx="1">
                  <c:v>30</c:v>
                </c:pt>
                <c:pt idx="2">
                  <c:v>50</c:v>
                </c:pt>
                <c:pt idx="3">
                  <c:v>75</c:v>
                </c:pt>
                <c:pt idx="4">
                  <c:v>100</c:v>
                </c:pt>
                <c:pt idx="5">
                  <c:v>125</c:v>
                </c:pt>
                <c:pt idx="6">
                  <c:v>150</c:v>
                </c:pt>
                <c:pt idx="7">
                  <c:v>175</c:v>
                </c:pt>
                <c:pt idx="8">
                  <c:v>200</c:v>
                </c:pt>
                <c:pt idx="9">
                  <c:v>250</c:v>
                </c:pt>
                <c:pt idx="10">
                  <c:v>300</c:v>
                </c:pt>
                <c:pt idx="11">
                  <c:v>500</c:v>
                </c:pt>
                <c:pt idx="12">
                  <c:v>750</c:v>
                </c:pt>
              </c:numCache>
            </c:numRef>
          </c:xVal>
          <c:yVal>
            <c:numRef>
              <c:f>'Grid Size'!$K$2:$K$14</c:f>
              <c:numCache>
                <c:formatCode>General</c:formatCode>
                <c:ptCount val="13"/>
                <c:pt idx="0">
                  <c:v>0.0259487695966695</c:v>
                </c:pt>
                <c:pt idx="1">
                  <c:v>0.0119703234769257</c:v>
                </c:pt>
                <c:pt idx="2">
                  <c:v>0.00444060520935125</c:v>
                </c:pt>
                <c:pt idx="3">
                  <c:v>0.00200553566217106</c:v>
                </c:pt>
                <c:pt idx="4">
                  <c:v>0.00113579369521233</c:v>
                </c:pt>
                <c:pt idx="5">
                  <c:v>0.000729457484804991</c:v>
                </c:pt>
                <c:pt idx="6">
                  <c:v>0.00050765466208674</c:v>
                </c:pt>
                <c:pt idx="7">
                  <c:v>0.000373732060534501</c:v>
                </c:pt>
                <c:pt idx="8">
                  <c:v>0.0002865639041114</c:v>
                </c:pt>
                <c:pt idx="9">
                  <c:v>0.000183755049067177</c:v>
                </c:pt>
                <c:pt idx="10">
                  <c:v>0.000127784644723467</c:v>
                </c:pt>
                <c:pt idx="11">
                  <c:v>4.60965484577719E-005</c:v>
                </c:pt>
                <c:pt idx="12">
                  <c:v>2.08635061624859E-005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'Grid Size'!L1</c:f>
              <c:strCache>
                <c:ptCount val="1"/>
                <c:pt idx="0">
                  <c:v>u_exact - u l2_error_rel</c:v>
                </c:pt>
              </c:strCache>
            </c:strRef>
          </c:tx>
          <c:spPr>
            <a:solidFill>
              <a:srgbClr val="ff7f0e"/>
            </a:solidFill>
            <a:ln w="20160">
              <a:solidFill>
                <a:srgbClr val="ff7f0e"/>
              </a:solidFill>
              <a:round/>
            </a:ln>
          </c:spPr>
          <c:marker>
            <c:symbol val="circle"/>
            <c:size val="6"/>
            <c:spPr>
              <a:solidFill>
                <a:srgbClr val="ff7f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'Grid Size'!$Q$2:$Q$14</c:f>
              <c:numCache>
                <c:formatCode>General</c:formatCode>
                <c:ptCount val="13"/>
                <c:pt idx="0">
                  <c:v>20</c:v>
                </c:pt>
                <c:pt idx="1">
                  <c:v>30</c:v>
                </c:pt>
                <c:pt idx="2">
                  <c:v>50</c:v>
                </c:pt>
                <c:pt idx="3">
                  <c:v>75</c:v>
                </c:pt>
                <c:pt idx="4">
                  <c:v>100</c:v>
                </c:pt>
                <c:pt idx="5">
                  <c:v>125</c:v>
                </c:pt>
                <c:pt idx="6">
                  <c:v>150</c:v>
                </c:pt>
                <c:pt idx="7">
                  <c:v>175</c:v>
                </c:pt>
                <c:pt idx="8">
                  <c:v>200</c:v>
                </c:pt>
                <c:pt idx="9">
                  <c:v>250</c:v>
                </c:pt>
                <c:pt idx="10">
                  <c:v>300</c:v>
                </c:pt>
                <c:pt idx="11">
                  <c:v>500</c:v>
                </c:pt>
                <c:pt idx="12">
                  <c:v>750</c:v>
                </c:pt>
              </c:numCache>
            </c:numRef>
          </c:xVal>
          <c:yVal>
            <c:numRef>
              <c:f>'Grid Size'!$L$2:$L$14</c:f>
              <c:numCache>
                <c:formatCode>General</c:formatCode>
                <c:ptCount val="13"/>
                <c:pt idx="0">
                  <c:v>0.0237764165000369</c:v>
                </c:pt>
                <c:pt idx="1">
                  <c:v>0.0109591978251372</c:v>
                </c:pt>
                <c:pt idx="2">
                  <c:v>0.00405780432848876</c:v>
                </c:pt>
                <c:pt idx="3">
                  <c:v>0.00182847750003162</c:v>
                </c:pt>
                <c:pt idx="4">
                  <c:v>0.00103555656359563</c:v>
                </c:pt>
                <c:pt idx="5">
                  <c:v>0.000665460086012631</c:v>
                </c:pt>
                <c:pt idx="6">
                  <c:v>0.000463377111264786</c:v>
                </c:pt>
                <c:pt idx="7">
                  <c:v>0.00034109858108812</c:v>
                </c:pt>
                <c:pt idx="8">
                  <c:v>0.000261526972724805</c:v>
                </c:pt>
                <c:pt idx="9">
                  <c:v>0.000167713114057145</c:v>
                </c:pt>
                <c:pt idx="10">
                  <c:v>0.000116623298644929</c:v>
                </c:pt>
                <c:pt idx="11">
                  <c:v>4.20694443780682E-005</c:v>
                </c:pt>
                <c:pt idx="12">
                  <c:v>1.9048622889499E-005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'Grid Size'!M1</c:f>
              <c:strCache>
                <c:ptCount val="1"/>
                <c:pt idx="0">
                  <c:v>energy_error_rel</c:v>
                </c:pt>
              </c:strCache>
            </c:strRef>
          </c:tx>
          <c:spPr>
            <a:solidFill>
              <a:srgbClr val="2ca02c"/>
            </a:solidFill>
            <a:ln w="20160">
              <a:solidFill>
                <a:srgbClr val="2ca02c"/>
              </a:solidFill>
              <a:round/>
            </a:ln>
          </c:spPr>
          <c:marker>
            <c:symbol val="circle"/>
            <c:size val="6"/>
            <c:spPr>
              <a:solidFill>
                <a:srgbClr val="2ca02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'Grid Size'!$Q$2:$Q$14</c:f>
              <c:numCache>
                <c:formatCode>General</c:formatCode>
                <c:ptCount val="13"/>
                <c:pt idx="0">
                  <c:v>20</c:v>
                </c:pt>
                <c:pt idx="1">
                  <c:v>30</c:v>
                </c:pt>
                <c:pt idx="2">
                  <c:v>50</c:v>
                </c:pt>
                <c:pt idx="3">
                  <c:v>75</c:v>
                </c:pt>
                <c:pt idx="4">
                  <c:v>100</c:v>
                </c:pt>
                <c:pt idx="5">
                  <c:v>125</c:v>
                </c:pt>
                <c:pt idx="6">
                  <c:v>150</c:v>
                </c:pt>
                <c:pt idx="7">
                  <c:v>175</c:v>
                </c:pt>
                <c:pt idx="8">
                  <c:v>200</c:v>
                </c:pt>
                <c:pt idx="9">
                  <c:v>250</c:v>
                </c:pt>
                <c:pt idx="10">
                  <c:v>300</c:v>
                </c:pt>
                <c:pt idx="11">
                  <c:v>500</c:v>
                </c:pt>
                <c:pt idx="12">
                  <c:v>750</c:v>
                </c:pt>
              </c:numCache>
            </c:numRef>
          </c:xVal>
          <c:yVal>
            <c:numRef>
              <c:f>'Grid Size'!$M$2:$M$14</c:f>
              <c:numCache>
                <c:formatCode>General</c:formatCode>
                <c:ptCount val="13"/>
                <c:pt idx="0">
                  <c:v>0.0230447152126941</c:v>
                </c:pt>
                <c:pt idx="1">
                  <c:v>0.0106151287892943</c:v>
                </c:pt>
                <c:pt idx="2">
                  <c:v>0.00392831788533428</c:v>
                </c:pt>
                <c:pt idx="3">
                  <c:v>0.00176984302313405</c:v>
                </c:pt>
                <c:pt idx="4">
                  <c:v>0.00100229337896393</c:v>
                </c:pt>
                <c:pt idx="5">
                  <c:v>0.000644070252806318</c:v>
                </c:pt>
                <c:pt idx="6">
                  <c:v>0.000448477406369399</c:v>
                </c:pt>
                <c:pt idx="7">
                  <c:v>0.000330128305571196</c:v>
                </c:pt>
                <c:pt idx="8">
                  <c:v>0.000253114657244297</c:v>
                </c:pt>
                <c:pt idx="9">
                  <c:v>0.000162317495392564</c:v>
                </c:pt>
                <c:pt idx="10">
                  <c:v>0.000112870961325473</c:v>
                </c:pt>
                <c:pt idx="11">
                  <c:v>4.07165538795466E-005</c:v>
                </c:pt>
                <c:pt idx="12">
                  <c:v>1.84254562980847E-005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'Grid Size'!N1</c:f>
              <c:strCache>
                <c:ptCount val="1"/>
                <c:pt idx="0">
                  <c:v>Lu_exact - F max_residual_rel</c:v>
                </c:pt>
              </c:strCache>
            </c:strRef>
          </c:tx>
          <c:spPr>
            <a:solidFill>
              <a:srgbClr val="d62728"/>
            </a:solidFill>
            <a:ln w="20160">
              <a:solidFill>
                <a:srgbClr val="d62728"/>
              </a:solidFill>
              <a:round/>
            </a:ln>
          </c:spPr>
          <c:marker>
            <c:symbol val="circle"/>
            <c:size val="6"/>
            <c:spPr>
              <a:solidFill>
                <a:srgbClr val="d6272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'Grid Size'!$Q$2:$Q$14</c:f>
              <c:numCache>
                <c:formatCode>General</c:formatCode>
                <c:ptCount val="13"/>
                <c:pt idx="0">
                  <c:v>20</c:v>
                </c:pt>
                <c:pt idx="1">
                  <c:v>30</c:v>
                </c:pt>
                <c:pt idx="2">
                  <c:v>50</c:v>
                </c:pt>
                <c:pt idx="3">
                  <c:v>75</c:v>
                </c:pt>
                <c:pt idx="4">
                  <c:v>100</c:v>
                </c:pt>
                <c:pt idx="5">
                  <c:v>125</c:v>
                </c:pt>
                <c:pt idx="6">
                  <c:v>150</c:v>
                </c:pt>
                <c:pt idx="7">
                  <c:v>175</c:v>
                </c:pt>
                <c:pt idx="8">
                  <c:v>200</c:v>
                </c:pt>
                <c:pt idx="9">
                  <c:v>250</c:v>
                </c:pt>
                <c:pt idx="10">
                  <c:v>300</c:v>
                </c:pt>
                <c:pt idx="11">
                  <c:v>500</c:v>
                </c:pt>
                <c:pt idx="12">
                  <c:v>750</c:v>
                </c:pt>
              </c:numCache>
            </c:numRef>
          </c:xVal>
          <c:yVal>
            <c:numRef>
              <c:f>'Grid Size'!$N$2:$N$14</c:f>
              <c:numCache>
                <c:formatCode>General</c:formatCode>
                <c:ptCount val="13"/>
                <c:pt idx="0">
                  <c:v>0.0152758227817162</c:v>
                </c:pt>
                <c:pt idx="1">
                  <c:v>0.00702249570182444</c:v>
                </c:pt>
                <c:pt idx="2">
                  <c:v>0.00260693943918085</c:v>
                </c:pt>
                <c:pt idx="3">
                  <c:v>0.00117439221676503</c:v>
                </c:pt>
                <c:pt idx="4">
                  <c:v>0.000665702494941885</c:v>
                </c:pt>
                <c:pt idx="5">
                  <c:v>0.00042785341247955</c:v>
                </c:pt>
                <c:pt idx="6">
                  <c:v>0.00029801354721815</c:v>
                </c:pt>
                <c:pt idx="7">
                  <c:v>0.000219359621600376</c:v>
                </c:pt>
                <c:pt idx="8">
                  <c:v>0.000168229932801213</c:v>
                </c:pt>
                <c:pt idx="9">
                  <c:v>0.000107889455390407</c:v>
                </c:pt>
                <c:pt idx="10">
                  <c:v>7.50256342370092E-005</c:v>
                </c:pt>
                <c:pt idx="11">
                  <c:v>2.70680643915973E-005</c:v>
                </c:pt>
                <c:pt idx="12">
                  <c:v>1.22013024683598E-005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'Grid Size'!O1</c:f>
              <c:strCache>
                <c:ptCount val="1"/>
                <c:pt idx="0">
                  <c:v>Lu_exact - F l2_residual_rel</c:v>
                </c:pt>
              </c:strCache>
            </c:strRef>
          </c:tx>
          <c:spPr>
            <a:solidFill>
              <a:srgbClr val="9467bd"/>
            </a:solidFill>
            <a:ln w="20160">
              <a:solidFill>
                <a:srgbClr val="9467bd"/>
              </a:solidFill>
              <a:round/>
            </a:ln>
          </c:spPr>
          <c:marker>
            <c:symbol val="circle"/>
            <c:size val="6"/>
            <c:spPr>
              <a:solidFill>
                <a:srgbClr val="9467b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'Grid Size'!$Q$2:$Q$14</c:f>
              <c:numCache>
                <c:formatCode>General</c:formatCode>
                <c:ptCount val="13"/>
                <c:pt idx="0">
                  <c:v>20</c:v>
                </c:pt>
                <c:pt idx="1">
                  <c:v>30</c:v>
                </c:pt>
                <c:pt idx="2">
                  <c:v>50</c:v>
                </c:pt>
                <c:pt idx="3">
                  <c:v>75</c:v>
                </c:pt>
                <c:pt idx="4">
                  <c:v>100</c:v>
                </c:pt>
                <c:pt idx="5">
                  <c:v>125</c:v>
                </c:pt>
                <c:pt idx="6">
                  <c:v>150</c:v>
                </c:pt>
                <c:pt idx="7">
                  <c:v>175</c:v>
                </c:pt>
                <c:pt idx="8">
                  <c:v>200</c:v>
                </c:pt>
                <c:pt idx="9">
                  <c:v>250</c:v>
                </c:pt>
                <c:pt idx="10">
                  <c:v>300</c:v>
                </c:pt>
                <c:pt idx="11">
                  <c:v>500</c:v>
                </c:pt>
                <c:pt idx="12">
                  <c:v>750</c:v>
                </c:pt>
              </c:numCache>
            </c:numRef>
          </c:xVal>
          <c:yVal>
            <c:numRef>
              <c:f>'Grid Size'!$O$2:$O$14</c:f>
              <c:numCache>
                <c:formatCode>General</c:formatCode>
                <c:ptCount val="13"/>
                <c:pt idx="0">
                  <c:v>0.0188110742149167</c:v>
                </c:pt>
                <c:pt idx="1">
                  <c:v>0.00876068302411821</c:v>
                </c:pt>
                <c:pt idx="2">
                  <c:v>0.00326217299343161</c:v>
                </c:pt>
                <c:pt idx="3">
                  <c:v>0.00147266760761233</c:v>
                </c:pt>
                <c:pt idx="4">
                  <c:v>0.000834591337559552</c:v>
                </c:pt>
                <c:pt idx="5">
                  <c:v>0.000536481930833421</c:v>
                </c:pt>
                <c:pt idx="6">
                  <c:v>0.00037362879301992</c:v>
                </c:pt>
                <c:pt idx="7">
                  <c:v>0.000275061146820297</c:v>
                </c:pt>
                <c:pt idx="8">
                  <c:v>0.000210909524496917</c:v>
                </c:pt>
                <c:pt idx="9">
                  <c:v>0.000135263955203078</c:v>
                </c:pt>
                <c:pt idx="10">
                  <c:v>9.40630206780255E-005</c:v>
                </c:pt>
                <c:pt idx="11">
                  <c:v>3.39392022331379E-005</c:v>
                </c:pt>
                <c:pt idx="12">
                  <c:v>1.529756731774E-005</c:v>
                </c:pt>
              </c:numCache>
            </c:numRef>
          </c:yVal>
          <c:smooth val="0"/>
        </c:ser>
        <c:axId val="55947627"/>
        <c:axId val="53629172"/>
      </c:scatterChart>
      <c:valAx>
        <c:axId val="5594762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N_int (varied value)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629172"/>
        <c:crosses val="autoZero"/>
        <c:crossBetween val="midCat"/>
      </c:valAx>
      <c:valAx>
        <c:axId val="53629172"/>
        <c:scaling>
          <c:logBase val="10"/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Relative Error / Residual (log scale)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94762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Length Scale: Relative Errors &amp; Residuals vs Inverse Length Scale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'Length Scale'!K1</c:f>
              <c:strCache>
                <c:ptCount val="1"/>
                <c:pt idx="0">
                  <c:v>u_exact - u max_error_rel</c:v>
                </c:pt>
              </c:strCache>
            </c:strRef>
          </c:tx>
          <c:spPr>
            <a:solidFill>
              <a:srgbClr val="1f77b4"/>
            </a:solidFill>
            <a:ln w="20160">
              <a:solidFill>
                <a:srgbClr val="1f77b4"/>
              </a:solidFill>
              <a:round/>
            </a:ln>
          </c:spPr>
          <c:marker>
            <c:symbol val="circle"/>
            <c:size val="6"/>
            <c:spPr>
              <a:solidFill>
                <a:srgbClr val="1f77b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'Length Scale'!$Q$2:$Q$16</c:f>
              <c:numCache>
                <c:formatCode>General</c:formatCode>
                <c:ptCount val="15"/>
                <c:pt idx="0">
                  <c:v>0.05</c:v>
                </c:pt>
                <c:pt idx="1">
                  <c:v>0.1</c:v>
                </c:pt>
                <c:pt idx="2">
                  <c:v>0.5</c:v>
                </c:pt>
                <c:pt idx="3">
                  <c:v>1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5</c:v>
                </c:pt>
                <c:pt idx="10">
                  <c:v>7.5</c:v>
                </c:pt>
                <c:pt idx="11">
                  <c:v>10</c:v>
                </c:pt>
                <c:pt idx="12">
                  <c:v>15</c:v>
                </c:pt>
                <c:pt idx="13">
                  <c:v>20</c:v>
                </c:pt>
                <c:pt idx="14">
                  <c:v>30</c:v>
                </c:pt>
              </c:numCache>
            </c:numRef>
          </c:xVal>
          <c:yVal>
            <c:numRef>
              <c:f>'Length Scale'!$K$2:$K$16</c:f>
              <c:numCache>
                <c:formatCode>General</c:formatCode>
                <c:ptCount val="15"/>
                <c:pt idx="0">
                  <c:v>4212.69257093497</c:v>
                </c:pt>
                <c:pt idx="1">
                  <c:v>1052.2901732765</c:v>
                </c:pt>
                <c:pt idx="2">
                  <c:v>0.00018723799887331</c:v>
                </c:pt>
                <c:pt idx="3">
                  <c:v>1.25018499930956E-005</c:v>
                </c:pt>
                <c:pt idx="4">
                  <c:v>2.86646847673009E-005</c:v>
                </c:pt>
                <c:pt idx="5">
                  <c:v>2.57054072689431E-005</c:v>
                </c:pt>
                <c:pt idx="6">
                  <c:v>1.47122533388558E-006</c:v>
                </c:pt>
                <c:pt idx="7">
                  <c:v>6.54133842698044E-005</c:v>
                </c:pt>
                <c:pt idx="8">
                  <c:v>0.000183755049067177</c:v>
                </c:pt>
                <c:pt idx="9">
                  <c:v>0.000660692148959465</c:v>
                </c:pt>
                <c:pt idx="10">
                  <c:v>0.00444399489885696</c:v>
                </c:pt>
                <c:pt idx="11">
                  <c:v>0.0154769115201677</c:v>
                </c:pt>
                <c:pt idx="12">
                  <c:v>0.0891553508128378</c:v>
                </c:pt>
                <c:pt idx="13">
                  <c:v>0.352840305112979</c:v>
                </c:pt>
                <c:pt idx="14">
                  <c:v>4.93768174175555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'Length Scale'!L1</c:f>
              <c:strCache>
                <c:ptCount val="1"/>
                <c:pt idx="0">
                  <c:v>u_exact - u l2_error_rel</c:v>
                </c:pt>
              </c:strCache>
            </c:strRef>
          </c:tx>
          <c:spPr>
            <a:solidFill>
              <a:srgbClr val="ff7f0e"/>
            </a:solidFill>
            <a:ln w="20160">
              <a:solidFill>
                <a:srgbClr val="ff7f0e"/>
              </a:solidFill>
              <a:round/>
            </a:ln>
          </c:spPr>
          <c:marker>
            <c:symbol val="circle"/>
            <c:size val="6"/>
            <c:spPr>
              <a:solidFill>
                <a:srgbClr val="ff7f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'Length Scale'!$Q$2:$Q$16</c:f>
              <c:numCache>
                <c:formatCode>General</c:formatCode>
                <c:ptCount val="15"/>
                <c:pt idx="0">
                  <c:v>0.05</c:v>
                </c:pt>
                <c:pt idx="1">
                  <c:v>0.1</c:v>
                </c:pt>
                <c:pt idx="2">
                  <c:v>0.5</c:v>
                </c:pt>
                <c:pt idx="3">
                  <c:v>1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5</c:v>
                </c:pt>
                <c:pt idx="10">
                  <c:v>7.5</c:v>
                </c:pt>
                <c:pt idx="11">
                  <c:v>10</c:v>
                </c:pt>
                <c:pt idx="12">
                  <c:v>15</c:v>
                </c:pt>
                <c:pt idx="13">
                  <c:v>20</c:v>
                </c:pt>
                <c:pt idx="14">
                  <c:v>30</c:v>
                </c:pt>
              </c:numCache>
            </c:numRef>
          </c:xVal>
          <c:yVal>
            <c:numRef>
              <c:f>'Length Scale'!$L$2:$L$16</c:f>
              <c:numCache>
                <c:formatCode>General</c:formatCode>
                <c:ptCount val="15"/>
                <c:pt idx="0">
                  <c:v>2796.43591112467</c:v>
                </c:pt>
                <c:pt idx="1">
                  <c:v>698.523113320899</c:v>
                </c:pt>
                <c:pt idx="2">
                  <c:v>0.000161878435263083</c:v>
                </c:pt>
                <c:pt idx="3">
                  <c:v>1.13567266797322E-005</c:v>
                </c:pt>
                <c:pt idx="4">
                  <c:v>2.44746463723733E-005</c:v>
                </c:pt>
                <c:pt idx="5">
                  <c:v>2.28791319847678E-005</c:v>
                </c:pt>
                <c:pt idx="6">
                  <c:v>1.25633023339165E-006</c:v>
                </c:pt>
                <c:pt idx="7">
                  <c:v>5.88579453409163E-005</c:v>
                </c:pt>
                <c:pt idx="8">
                  <c:v>0.000167713114057145</c:v>
                </c:pt>
                <c:pt idx="9">
                  <c:v>0.000611063371944657</c:v>
                </c:pt>
                <c:pt idx="10">
                  <c:v>0.00415959382708588</c:v>
                </c:pt>
                <c:pt idx="11">
                  <c:v>0.0144939298044702</c:v>
                </c:pt>
                <c:pt idx="12">
                  <c:v>0.083072615669079</c:v>
                </c:pt>
                <c:pt idx="13">
                  <c:v>0.328701637689495</c:v>
                </c:pt>
                <c:pt idx="14">
                  <c:v>4.62629688289412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'Length Scale'!M1</c:f>
              <c:strCache>
                <c:ptCount val="1"/>
                <c:pt idx="0">
                  <c:v>energy_error_rel</c:v>
                </c:pt>
              </c:strCache>
            </c:strRef>
          </c:tx>
          <c:spPr>
            <a:solidFill>
              <a:srgbClr val="2ca02c"/>
            </a:solidFill>
            <a:ln w="20160">
              <a:solidFill>
                <a:srgbClr val="2ca02c"/>
              </a:solidFill>
              <a:round/>
            </a:ln>
          </c:spPr>
          <c:marker>
            <c:symbol val="circle"/>
            <c:size val="6"/>
            <c:spPr>
              <a:solidFill>
                <a:srgbClr val="2ca02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'Length Scale'!$Q$2:$Q$16</c:f>
              <c:numCache>
                <c:formatCode>General</c:formatCode>
                <c:ptCount val="15"/>
                <c:pt idx="0">
                  <c:v>0.05</c:v>
                </c:pt>
                <c:pt idx="1">
                  <c:v>0.1</c:v>
                </c:pt>
                <c:pt idx="2">
                  <c:v>0.5</c:v>
                </c:pt>
                <c:pt idx="3">
                  <c:v>1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5</c:v>
                </c:pt>
                <c:pt idx="10">
                  <c:v>7.5</c:v>
                </c:pt>
                <c:pt idx="11">
                  <c:v>10</c:v>
                </c:pt>
                <c:pt idx="12">
                  <c:v>15</c:v>
                </c:pt>
                <c:pt idx="13">
                  <c:v>20</c:v>
                </c:pt>
                <c:pt idx="14">
                  <c:v>30</c:v>
                </c:pt>
              </c:numCache>
            </c:numRef>
          </c:xVal>
          <c:yVal>
            <c:numRef>
              <c:f>'Length Scale'!$M$2:$M$16</c:f>
              <c:numCache>
                <c:formatCode>General</c:formatCode>
                <c:ptCount val="15"/>
                <c:pt idx="0">
                  <c:v>5943.04529709584</c:v>
                </c:pt>
                <c:pt idx="1">
                  <c:v>1485.30990962249</c:v>
                </c:pt>
                <c:pt idx="2">
                  <c:v>0.000159330697619035</c:v>
                </c:pt>
                <c:pt idx="3">
                  <c:v>3.22882283548603E-005</c:v>
                </c:pt>
                <c:pt idx="4">
                  <c:v>2.88938097963987E-005</c:v>
                </c:pt>
                <c:pt idx="5">
                  <c:v>2.31034720757351E-005</c:v>
                </c:pt>
                <c:pt idx="6">
                  <c:v>3.4687036428206E-006</c:v>
                </c:pt>
                <c:pt idx="7">
                  <c:v>5.81289275006583E-005</c:v>
                </c:pt>
                <c:pt idx="8">
                  <c:v>0.000162317495392564</c:v>
                </c:pt>
                <c:pt idx="9">
                  <c:v>0.000585238703231376</c:v>
                </c:pt>
                <c:pt idx="10">
                  <c:v>0.00396966776123038</c:v>
                </c:pt>
                <c:pt idx="11">
                  <c:v>0.0138307419797604</c:v>
                </c:pt>
                <c:pt idx="12">
                  <c:v>0.0792874853367673</c:v>
                </c:pt>
                <c:pt idx="13">
                  <c:v>0.313728487087188</c:v>
                </c:pt>
                <c:pt idx="14">
                  <c:v>4.41473751508486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'Length Scale'!N1</c:f>
              <c:strCache>
                <c:ptCount val="1"/>
                <c:pt idx="0">
                  <c:v>Lu_exact - F max_residual_rel</c:v>
                </c:pt>
              </c:strCache>
            </c:strRef>
          </c:tx>
          <c:spPr>
            <a:solidFill>
              <a:srgbClr val="d62728"/>
            </a:solidFill>
            <a:ln w="20160">
              <a:solidFill>
                <a:srgbClr val="d62728"/>
              </a:solidFill>
              <a:round/>
            </a:ln>
          </c:spPr>
          <c:marker>
            <c:symbol val="circle"/>
            <c:size val="6"/>
            <c:spPr>
              <a:solidFill>
                <a:srgbClr val="d6272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'Length Scale'!$Q$2:$Q$16</c:f>
              <c:numCache>
                <c:formatCode>General</c:formatCode>
                <c:ptCount val="15"/>
                <c:pt idx="0">
                  <c:v>0.05</c:v>
                </c:pt>
                <c:pt idx="1">
                  <c:v>0.1</c:v>
                </c:pt>
                <c:pt idx="2">
                  <c:v>0.5</c:v>
                </c:pt>
                <c:pt idx="3">
                  <c:v>1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5</c:v>
                </c:pt>
                <c:pt idx="10">
                  <c:v>7.5</c:v>
                </c:pt>
                <c:pt idx="11">
                  <c:v>10</c:v>
                </c:pt>
                <c:pt idx="12">
                  <c:v>15</c:v>
                </c:pt>
                <c:pt idx="13">
                  <c:v>20</c:v>
                </c:pt>
                <c:pt idx="14">
                  <c:v>30</c:v>
                </c:pt>
              </c:numCache>
            </c:numRef>
          </c:xVal>
          <c:yVal>
            <c:numRef>
              <c:f>'Length Scale'!$N$2:$N$16</c:f>
              <c:numCache>
                <c:formatCode>General</c:formatCode>
                <c:ptCount val="15"/>
                <c:pt idx="0">
                  <c:v>0.999720623150323</c:v>
                </c:pt>
                <c:pt idx="1">
                  <c:v>0.998882492573499</c:v>
                </c:pt>
                <c:pt idx="2">
                  <c:v>0.000146425026875473</c:v>
                </c:pt>
                <c:pt idx="3">
                  <c:v>5.1063060332923E-005</c:v>
                </c:pt>
                <c:pt idx="4">
                  <c:v>3.45963693260931E-005</c:v>
                </c:pt>
                <c:pt idx="5">
                  <c:v>1.87616902935534E-005</c:v>
                </c:pt>
                <c:pt idx="6">
                  <c:v>5.52546129094432E-006</c:v>
                </c:pt>
                <c:pt idx="7">
                  <c:v>4.28605947478983E-005</c:v>
                </c:pt>
                <c:pt idx="8">
                  <c:v>0.000107889455390407</c:v>
                </c:pt>
                <c:pt idx="9">
                  <c:v>0.000349993463956789</c:v>
                </c:pt>
                <c:pt idx="10">
                  <c:v>0.00213699702325152</c:v>
                </c:pt>
                <c:pt idx="11">
                  <c:v>0.00734635706498538</c:v>
                </c:pt>
                <c:pt idx="12">
                  <c:v>0.0413663373927451</c:v>
                </c:pt>
                <c:pt idx="13">
                  <c:v>0.135438829283821</c:v>
                </c:pt>
                <c:pt idx="14">
                  <c:v>0.701871036755859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'Length Scale'!O1</c:f>
              <c:strCache>
                <c:ptCount val="1"/>
                <c:pt idx="0">
                  <c:v>Lu_exact - F l2_residual_rel</c:v>
                </c:pt>
              </c:strCache>
            </c:strRef>
          </c:tx>
          <c:spPr>
            <a:solidFill>
              <a:srgbClr val="9467bd"/>
            </a:solidFill>
            <a:ln w="20160">
              <a:solidFill>
                <a:srgbClr val="9467bd"/>
              </a:solidFill>
              <a:round/>
            </a:ln>
          </c:spPr>
          <c:marker>
            <c:symbol val="circle"/>
            <c:size val="6"/>
            <c:spPr>
              <a:solidFill>
                <a:srgbClr val="9467b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'Length Scale'!$Q$2:$Q$16</c:f>
              <c:numCache>
                <c:formatCode>General</c:formatCode>
                <c:ptCount val="15"/>
                <c:pt idx="0">
                  <c:v>0.05</c:v>
                </c:pt>
                <c:pt idx="1">
                  <c:v>0.1</c:v>
                </c:pt>
                <c:pt idx="2">
                  <c:v>0.5</c:v>
                </c:pt>
                <c:pt idx="3">
                  <c:v>1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5</c:v>
                </c:pt>
                <c:pt idx="10">
                  <c:v>7.5</c:v>
                </c:pt>
                <c:pt idx="11">
                  <c:v>10</c:v>
                </c:pt>
                <c:pt idx="12">
                  <c:v>15</c:v>
                </c:pt>
                <c:pt idx="13">
                  <c:v>20</c:v>
                </c:pt>
                <c:pt idx="14">
                  <c:v>30</c:v>
                </c:pt>
              </c:numCache>
            </c:numRef>
          </c:xVal>
          <c:yVal>
            <c:numRef>
              <c:f>'Length Scale'!$O$2:$O$16</c:f>
              <c:numCache>
                <c:formatCode>General</c:formatCode>
                <c:ptCount val="15"/>
                <c:pt idx="0">
                  <c:v>0.999720648034024</c:v>
                </c:pt>
                <c:pt idx="1">
                  <c:v>0.998882891046727</c:v>
                </c:pt>
                <c:pt idx="2">
                  <c:v>0.00014724768870888</c:v>
                </c:pt>
                <c:pt idx="3">
                  <c:v>7.18999306853165E-005</c:v>
                </c:pt>
                <c:pt idx="4">
                  <c:v>4.35935980155311E-005</c:v>
                </c:pt>
                <c:pt idx="5">
                  <c:v>2.40910979187691E-005</c:v>
                </c:pt>
                <c:pt idx="6">
                  <c:v>7.69870756683833E-006</c:v>
                </c:pt>
                <c:pt idx="7">
                  <c:v>5.47130030026711E-005</c:v>
                </c:pt>
                <c:pt idx="8">
                  <c:v>0.000135263955203078</c:v>
                </c:pt>
                <c:pt idx="9">
                  <c:v>0.000450194059073019</c:v>
                </c:pt>
                <c:pt idx="10">
                  <c:v>0.00295104251388972</c:v>
                </c:pt>
                <c:pt idx="11">
                  <c:v>0.0101671515768422</c:v>
                </c:pt>
                <c:pt idx="12">
                  <c:v>0.0546908242329349</c:v>
                </c:pt>
                <c:pt idx="13">
                  <c:v>0.176455478156484</c:v>
                </c:pt>
                <c:pt idx="14">
                  <c:v>0.905247835143511</c:v>
                </c:pt>
              </c:numCache>
            </c:numRef>
          </c:yVal>
          <c:smooth val="0"/>
        </c:ser>
        <c:axId val="42487243"/>
        <c:axId val="75866329"/>
      </c:scatterChart>
      <c:valAx>
        <c:axId val="4248724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Inverse Length Scale (varied value)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866329"/>
        <c:crosses val="autoZero"/>
        <c:crossBetween val="midCat"/>
      </c:valAx>
      <c:valAx>
        <c:axId val="75866329"/>
        <c:scaling>
          <c:logBase val="10"/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Relative Error / Residual (log scale)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48724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Stencil Nodes: Relative Errors &amp; Residuals vs num_stencil_nodes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'Stencil Nodes'!K1</c:f>
              <c:strCache>
                <c:ptCount val="1"/>
                <c:pt idx="0">
                  <c:v>u_exact - u max_error_rel</c:v>
                </c:pt>
              </c:strCache>
            </c:strRef>
          </c:tx>
          <c:spPr>
            <a:solidFill>
              <a:srgbClr val="1f77b4"/>
            </a:solidFill>
            <a:ln w="20160">
              <a:solidFill>
                <a:srgbClr val="1f77b4"/>
              </a:solidFill>
              <a:round/>
            </a:ln>
          </c:spPr>
          <c:marker>
            <c:symbol val="circle"/>
            <c:size val="6"/>
            <c:spPr>
              <a:solidFill>
                <a:srgbClr val="1f77b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'Stencil Nodes'!$Q$2:$Q$9</c:f>
              <c:numCache>
                <c:formatCode>General</c:formatCode>
                <c:ptCount val="8"/>
                <c:pt idx="0">
                  <c:v>5</c:v>
                </c:pt>
                <c:pt idx="1">
                  <c:v>7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40</c:v>
                </c:pt>
                <c:pt idx="7">
                  <c:v>50</c:v>
                </c:pt>
              </c:numCache>
            </c:numRef>
          </c:xVal>
          <c:yVal>
            <c:numRef>
              <c:f>'Stencil Nodes'!$K$2:$K$9</c:f>
              <c:numCache>
                <c:formatCode>General</c:formatCode>
                <c:ptCount val="8"/>
                <c:pt idx="0">
                  <c:v>0.000183755049067177</c:v>
                </c:pt>
                <c:pt idx="1">
                  <c:v>0.000183714290666877</c:v>
                </c:pt>
                <c:pt idx="2">
                  <c:v>0.00054918650970977</c:v>
                </c:pt>
                <c:pt idx="3">
                  <c:v>0.0164197584242404</c:v>
                </c:pt>
                <c:pt idx="4">
                  <c:v>0.00288721291155336</c:v>
                </c:pt>
                <c:pt idx="5">
                  <c:v>0.000125468857509949</c:v>
                </c:pt>
                <c:pt idx="6">
                  <c:v>0.00105810078739274</c:v>
                </c:pt>
                <c:pt idx="7">
                  <c:v>0.000107585253087442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'Stencil Nodes'!L1</c:f>
              <c:strCache>
                <c:ptCount val="1"/>
                <c:pt idx="0">
                  <c:v>u_exact - u l2_error_rel</c:v>
                </c:pt>
              </c:strCache>
            </c:strRef>
          </c:tx>
          <c:spPr>
            <a:solidFill>
              <a:srgbClr val="ff7f0e"/>
            </a:solidFill>
            <a:ln w="20160">
              <a:solidFill>
                <a:srgbClr val="ff7f0e"/>
              </a:solidFill>
              <a:round/>
            </a:ln>
          </c:spPr>
          <c:marker>
            <c:symbol val="circle"/>
            <c:size val="6"/>
            <c:spPr>
              <a:solidFill>
                <a:srgbClr val="ff7f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'Stencil Nodes'!$Q$2:$Q$9</c:f>
              <c:numCache>
                <c:formatCode>General</c:formatCode>
                <c:ptCount val="8"/>
                <c:pt idx="0">
                  <c:v>5</c:v>
                </c:pt>
                <c:pt idx="1">
                  <c:v>7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40</c:v>
                </c:pt>
                <c:pt idx="7">
                  <c:v>50</c:v>
                </c:pt>
              </c:numCache>
            </c:numRef>
          </c:xVal>
          <c:yVal>
            <c:numRef>
              <c:f>'Stencil Nodes'!$L$2:$L$9</c:f>
              <c:numCache>
                <c:formatCode>General</c:formatCode>
                <c:ptCount val="8"/>
                <c:pt idx="0">
                  <c:v>0.000167713114057145</c:v>
                </c:pt>
                <c:pt idx="1">
                  <c:v>0.000167674474349595</c:v>
                </c:pt>
                <c:pt idx="2">
                  <c:v>0.000497472262095859</c:v>
                </c:pt>
                <c:pt idx="3">
                  <c:v>0.0060057385887189</c:v>
                </c:pt>
                <c:pt idx="4">
                  <c:v>0.000962879725217712</c:v>
                </c:pt>
                <c:pt idx="5">
                  <c:v>0.000103230430760974</c:v>
                </c:pt>
                <c:pt idx="6">
                  <c:v>0.000296927801639909</c:v>
                </c:pt>
                <c:pt idx="7">
                  <c:v>3.84456380052661E-005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'Stencil Nodes'!M1</c:f>
              <c:strCache>
                <c:ptCount val="1"/>
                <c:pt idx="0">
                  <c:v>energy_error_rel</c:v>
                </c:pt>
              </c:strCache>
            </c:strRef>
          </c:tx>
          <c:spPr>
            <a:solidFill>
              <a:srgbClr val="2ca02c"/>
            </a:solidFill>
            <a:ln w="20160">
              <a:solidFill>
                <a:srgbClr val="2ca02c"/>
              </a:solidFill>
              <a:round/>
            </a:ln>
          </c:spPr>
          <c:marker>
            <c:symbol val="circle"/>
            <c:size val="6"/>
            <c:spPr>
              <a:solidFill>
                <a:srgbClr val="2ca02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'Stencil Nodes'!$Q$2:$Q$9</c:f>
              <c:numCache>
                <c:formatCode>General</c:formatCode>
                <c:ptCount val="8"/>
                <c:pt idx="0">
                  <c:v>5</c:v>
                </c:pt>
                <c:pt idx="1">
                  <c:v>7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40</c:v>
                </c:pt>
                <c:pt idx="7">
                  <c:v>50</c:v>
                </c:pt>
              </c:numCache>
            </c:numRef>
          </c:xVal>
          <c:yVal>
            <c:numRef>
              <c:f>'Stencil Nodes'!$M$2:$M$9</c:f>
              <c:numCache>
                <c:formatCode>General</c:formatCode>
                <c:ptCount val="8"/>
                <c:pt idx="0">
                  <c:v>0.000162317495392564</c:v>
                </c:pt>
                <c:pt idx="1">
                  <c:v>0.00016227973850776</c:v>
                </c:pt>
                <c:pt idx="2">
                  <c:v>0.00047735105683887</c:v>
                </c:pt>
                <c:pt idx="3">
                  <c:v>0.010744697527412</c:v>
                </c:pt>
                <c:pt idx="4">
                  <c:v>0.0026551403409213</c:v>
                </c:pt>
                <c:pt idx="5">
                  <c:v>0.000172833957396748</c:v>
                </c:pt>
                <c:pt idx="6">
                  <c:v>0.000460304024832796</c:v>
                </c:pt>
                <c:pt idx="7">
                  <c:v>6.8921945078561E-005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'Stencil Nodes'!N1</c:f>
              <c:strCache>
                <c:ptCount val="1"/>
                <c:pt idx="0">
                  <c:v>Lu_exact - F max_residual_rel</c:v>
                </c:pt>
              </c:strCache>
            </c:strRef>
          </c:tx>
          <c:spPr>
            <a:solidFill>
              <a:srgbClr val="d62728"/>
            </a:solidFill>
            <a:ln w="20160">
              <a:solidFill>
                <a:srgbClr val="d62728"/>
              </a:solidFill>
              <a:round/>
            </a:ln>
          </c:spPr>
          <c:marker>
            <c:symbol val="circle"/>
            <c:size val="6"/>
            <c:spPr>
              <a:solidFill>
                <a:srgbClr val="d6272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'Stencil Nodes'!$Q$2:$Q$9</c:f>
              <c:numCache>
                <c:formatCode>General</c:formatCode>
                <c:ptCount val="8"/>
                <c:pt idx="0">
                  <c:v>5</c:v>
                </c:pt>
                <c:pt idx="1">
                  <c:v>7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40</c:v>
                </c:pt>
                <c:pt idx="7">
                  <c:v>50</c:v>
                </c:pt>
              </c:numCache>
            </c:numRef>
          </c:xVal>
          <c:yVal>
            <c:numRef>
              <c:f>'Stencil Nodes'!$N$2:$N$9</c:f>
              <c:numCache>
                <c:formatCode>General</c:formatCode>
                <c:ptCount val="8"/>
                <c:pt idx="0">
                  <c:v>0.000107889455390407</c:v>
                </c:pt>
                <c:pt idx="1">
                  <c:v>0.000107867459763692</c:v>
                </c:pt>
                <c:pt idx="2">
                  <c:v>0.000333059175843129</c:v>
                </c:pt>
                <c:pt idx="3">
                  <c:v>0.000556316385029616</c:v>
                </c:pt>
                <c:pt idx="4">
                  <c:v>0.000275907440403324</c:v>
                </c:pt>
                <c:pt idx="5">
                  <c:v>0.000260062409535348</c:v>
                </c:pt>
                <c:pt idx="6">
                  <c:v>3.91775316823504E-005</c:v>
                </c:pt>
                <c:pt idx="7">
                  <c:v>0.000161699886665801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'Stencil Nodes'!O1</c:f>
              <c:strCache>
                <c:ptCount val="1"/>
                <c:pt idx="0">
                  <c:v>Lu_exact - F l2_residual_rel</c:v>
                </c:pt>
              </c:strCache>
            </c:strRef>
          </c:tx>
          <c:spPr>
            <a:solidFill>
              <a:srgbClr val="9467bd"/>
            </a:solidFill>
            <a:ln w="20160">
              <a:solidFill>
                <a:srgbClr val="9467bd"/>
              </a:solidFill>
              <a:round/>
            </a:ln>
          </c:spPr>
          <c:marker>
            <c:symbol val="circle"/>
            <c:size val="6"/>
            <c:spPr>
              <a:solidFill>
                <a:srgbClr val="9467b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'Stencil Nodes'!$Q$2:$Q$9</c:f>
              <c:numCache>
                <c:formatCode>General</c:formatCode>
                <c:ptCount val="8"/>
                <c:pt idx="0">
                  <c:v>5</c:v>
                </c:pt>
                <c:pt idx="1">
                  <c:v>7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40</c:v>
                </c:pt>
                <c:pt idx="7">
                  <c:v>50</c:v>
                </c:pt>
              </c:numCache>
            </c:numRef>
          </c:xVal>
          <c:yVal>
            <c:numRef>
              <c:f>'Stencil Nodes'!$O$2:$O$9</c:f>
              <c:numCache>
                <c:formatCode>General</c:formatCode>
                <c:ptCount val="8"/>
                <c:pt idx="0">
                  <c:v>0.000135263955203078</c:v>
                </c:pt>
                <c:pt idx="1">
                  <c:v>0.000135235590158523</c:v>
                </c:pt>
                <c:pt idx="2">
                  <c:v>0.00037277662806527</c:v>
                </c:pt>
                <c:pt idx="3">
                  <c:v>0.000392365413666764</c:v>
                </c:pt>
                <c:pt idx="4">
                  <c:v>0.000337145581952136</c:v>
                </c:pt>
                <c:pt idx="5">
                  <c:v>0.000341582041283914</c:v>
                </c:pt>
                <c:pt idx="6">
                  <c:v>3.17957694583427E-005</c:v>
                </c:pt>
                <c:pt idx="7">
                  <c:v>2.59250489128654E-005</c:v>
                </c:pt>
              </c:numCache>
            </c:numRef>
          </c:yVal>
          <c:smooth val="0"/>
        </c:ser>
        <c:axId val="43286386"/>
        <c:axId val="9961567"/>
      </c:scatterChart>
      <c:valAx>
        <c:axId val="4328638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num_stencil_nodes (varied value)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61567"/>
        <c:crosses val="autoZero"/>
        <c:crossBetween val="midCat"/>
      </c:valAx>
      <c:valAx>
        <c:axId val="9961567"/>
        <c:scaling>
          <c:logBase val="10"/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Relative Error / Residual (log scale)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286386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Center Rings: Relative Errors &amp; Residuals vs num_rings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'Center Rings'!K1</c:f>
              <c:strCache>
                <c:ptCount val="1"/>
                <c:pt idx="0">
                  <c:v>u_exact - u max_error_rel</c:v>
                </c:pt>
              </c:strCache>
            </c:strRef>
          </c:tx>
          <c:spPr>
            <a:solidFill>
              <a:srgbClr val="1f77b4"/>
            </a:solidFill>
            <a:ln w="20160">
              <a:solidFill>
                <a:srgbClr val="1f77b4"/>
              </a:solidFill>
              <a:round/>
            </a:ln>
          </c:spPr>
          <c:marker>
            <c:symbol val="circle"/>
            <c:size val="6"/>
            <c:spPr>
              <a:solidFill>
                <a:srgbClr val="1f77b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'Center Rings'!$Q$2:$Q$11</c:f>
              <c:numCache>
                <c:formatCode>General</c:formatCode>
                <c:ptCount val="10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</c:numCache>
            </c:numRef>
          </c:xVal>
          <c:yVal>
            <c:numRef>
              <c:f>'Center Rings'!$K$2:$K$11</c:f>
              <c:numCache>
                <c:formatCode>General</c:formatCode>
                <c:ptCount val="10"/>
                <c:pt idx="0">
                  <c:v>0.000183755049067177</c:v>
                </c:pt>
                <c:pt idx="1">
                  <c:v>0.000183761359453723</c:v>
                </c:pt>
                <c:pt idx="2">
                  <c:v>0.000183761579436905</c:v>
                </c:pt>
                <c:pt idx="3">
                  <c:v>0.000183761507635036</c:v>
                </c:pt>
                <c:pt idx="4">
                  <c:v>0.000183764903953451</c:v>
                </c:pt>
                <c:pt idx="5">
                  <c:v>0.000183767289329951</c:v>
                </c:pt>
                <c:pt idx="6">
                  <c:v>0.000183758578587218</c:v>
                </c:pt>
                <c:pt idx="7">
                  <c:v>0.000183765239923426</c:v>
                </c:pt>
                <c:pt idx="8">
                  <c:v>0.000183764983588894</c:v>
                </c:pt>
                <c:pt idx="9">
                  <c:v>0.000183764579371227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'Center Rings'!L1</c:f>
              <c:strCache>
                <c:ptCount val="1"/>
                <c:pt idx="0">
                  <c:v>u_exact - u l2_error_rel</c:v>
                </c:pt>
              </c:strCache>
            </c:strRef>
          </c:tx>
          <c:spPr>
            <a:solidFill>
              <a:srgbClr val="ff7f0e"/>
            </a:solidFill>
            <a:ln w="20160">
              <a:solidFill>
                <a:srgbClr val="ff7f0e"/>
              </a:solidFill>
              <a:round/>
            </a:ln>
          </c:spPr>
          <c:marker>
            <c:symbol val="circle"/>
            <c:size val="6"/>
            <c:spPr>
              <a:solidFill>
                <a:srgbClr val="ff7f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'Center Rings'!$Q$2:$Q$11</c:f>
              <c:numCache>
                <c:formatCode>General</c:formatCode>
                <c:ptCount val="10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</c:numCache>
            </c:numRef>
          </c:xVal>
          <c:yVal>
            <c:numRef>
              <c:f>'Center Rings'!$L$2:$L$11</c:f>
              <c:numCache>
                <c:formatCode>General</c:formatCode>
                <c:ptCount val="10"/>
                <c:pt idx="0">
                  <c:v>0.000167713114057145</c:v>
                </c:pt>
                <c:pt idx="1">
                  <c:v>0.000167718977482734</c:v>
                </c:pt>
                <c:pt idx="2">
                  <c:v>0.00016771924096009</c:v>
                </c:pt>
                <c:pt idx="3">
                  <c:v>0.000167719106943677</c:v>
                </c:pt>
                <c:pt idx="4">
                  <c:v>0.000167722302639073</c:v>
                </c:pt>
                <c:pt idx="5">
                  <c:v>0.000167724478105617</c:v>
                </c:pt>
                <c:pt idx="6">
                  <c:v>0.000167716255115161</c:v>
                </c:pt>
                <c:pt idx="7">
                  <c:v>0.000167722668643287</c:v>
                </c:pt>
                <c:pt idx="8">
                  <c:v>0.00016772233186105</c:v>
                </c:pt>
                <c:pt idx="9">
                  <c:v>0.000167721839084647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'Center Rings'!M1</c:f>
              <c:strCache>
                <c:ptCount val="1"/>
                <c:pt idx="0">
                  <c:v>energy_error_rel</c:v>
                </c:pt>
              </c:strCache>
            </c:strRef>
          </c:tx>
          <c:spPr>
            <a:solidFill>
              <a:srgbClr val="2ca02c"/>
            </a:solidFill>
            <a:ln w="20160">
              <a:solidFill>
                <a:srgbClr val="2ca02c"/>
              </a:solidFill>
              <a:round/>
            </a:ln>
          </c:spPr>
          <c:marker>
            <c:symbol val="circle"/>
            <c:size val="6"/>
            <c:spPr>
              <a:solidFill>
                <a:srgbClr val="2ca02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'Center Rings'!$Q$2:$Q$11</c:f>
              <c:numCache>
                <c:formatCode>General</c:formatCode>
                <c:ptCount val="10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</c:numCache>
            </c:numRef>
          </c:xVal>
          <c:yVal>
            <c:numRef>
              <c:f>'Center Rings'!$M$2:$M$11</c:f>
              <c:numCache>
                <c:formatCode>General</c:formatCode>
                <c:ptCount val="10"/>
                <c:pt idx="0">
                  <c:v>0.000162317495392564</c:v>
                </c:pt>
                <c:pt idx="1">
                  <c:v>0.000162322991371186</c:v>
                </c:pt>
                <c:pt idx="2">
                  <c:v>0.000162323243995063</c:v>
                </c:pt>
                <c:pt idx="3">
                  <c:v>0.00016232313795483</c:v>
                </c:pt>
                <c:pt idx="4">
                  <c:v>0.000162326135992947</c:v>
                </c:pt>
                <c:pt idx="5">
                  <c:v>0.000162328178364312</c:v>
                </c:pt>
                <c:pt idx="6">
                  <c:v>0.000162320489675975</c:v>
                </c:pt>
                <c:pt idx="7">
                  <c:v>0.000162326492555307</c:v>
                </c:pt>
                <c:pt idx="8">
                  <c:v>0.000162326179448702</c:v>
                </c:pt>
                <c:pt idx="9">
                  <c:v>0.000162325723307873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'Center Rings'!N1</c:f>
              <c:strCache>
                <c:ptCount val="1"/>
                <c:pt idx="0">
                  <c:v>Lu_exact - F max_residual_rel</c:v>
                </c:pt>
              </c:strCache>
            </c:strRef>
          </c:tx>
          <c:spPr>
            <a:solidFill>
              <a:srgbClr val="d62728"/>
            </a:solidFill>
            <a:ln w="20160">
              <a:solidFill>
                <a:srgbClr val="d62728"/>
              </a:solidFill>
              <a:round/>
            </a:ln>
          </c:spPr>
          <c:marker>
            <c:symbol val="circle"/>
            <c:size val="6"/>
            <c:spPr>
              <a:solidFill>
                <a:srgbClr val="d6272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'Center Rings'!$Q$2:$Q$11</c:f>
              <c:numCache>
                <c:formatCode>General</c:formatCode>
                <c:ptCount val="10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</c:numCache>
            </c:numRef>
          </c:xVal>
          <c:yVal>
            <c:numRef>
              <c:f>'Center Rings'!$N$2:$N$11</c:f>
              <c:numCache>
                <c:formatCode>General</c:formatCode>
                <c:ptCount val="10"/>
                <c:pt idx="0">
                  <c:v>0.000107889455390407</c:v>
                </c:pt>
                <c:pt idx="1">
                  <c:v>0.000107892417576515</c:v>
                </c:pt>
                <c:pt idx="2">
                  <c:v>0.000107892322563007</c:v>
                </c:pt>
                <c:pt idx="3">
                  <c:v>0.000107892394288606</c:v>
                </c:pt>
                <c:pt idx="4">
                  <c:v>0.000107894023490809</c:v>
                </c:pt>
                <c:pt idx="5">
                  <c:v>0.000107895018338408</c:v>
                </c:pt>
                <c:pt idx="6">
                  <c:v>0.000107891184263927</c:v>
                </c:pt>
                <c:pt idx="7">
                  <c:v>0.000107894184175418</c:v>
                </c:pt>
                <c:pt idx="8">
                  <c:v>0.000107894037929421</c:v>
                </c:pt>
                <c:pt idx="9">
                  <c:v>0.000107893774313228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'Center Rings'!O1</c:f>
              <c:strCache>
                <c:ptCount val="1"/>
                <c:pt idx="0">
                  <c:v>Lu_exact - F l2_residual_rel</c:v>
                </c:pt>
              </c:strCache>
            </c:strRef>
          </c:tx>
          <c:spPr>
            <a:solidFill>
              <a:srgbClr val="9467bd"/>
            </a:solidFill>
            <a:ln w="20160">
              <a:solidFill>
                <a:srgbClr val="9467bd"/>
              </a:solidFill>
              <a:round/>
            </a:ln>
          </c:spPr>
          <c:marker>
            <c:symbol val="circle"/>
            <c:size val="6"/>
            <c:spPr>
              <a:solidFill>
                <a:srgbClr val="9467b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'Center Rings'!$Q$2:$Q$11</c:f>
              <c:numCache>
                <c:formatCode>General</c:formatCode>
                <c:ptCount val="10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</c:numCache>
            </c:numRef>
          </c:xVal>
          <c:yVal>
            <c:numRef>
              <c:f>'Center Rings'!$O$2:$O$11</c:f>
              <c:numCache>
                <c:formatCode>General</c:formatCode>
                <c:ptCount val="10"/>
                <c:pt idx="0">
                  <c:v>0.000135263955203078</c:v>
                </c:pt>
                <c:pt idx="1">
                  <c:v>0.000135267499133439</c:v>
                </c:pt>
                <c:pt idx="2">
                  <c:v>0.000135267695860056</c:v>
                </c:pt>
                <c:pt idx="3">
                  <c:v>0.000135267744559076</c:v>
                </c:pt>
                <c:pt idx="4">
                  <c:v>0.000135269693359357</c:v>
                </c:pt>
                <c:pt idx="5">
                  <c:v>0.00013527102967019</c:v>
                </c:pt>
                <c:pt idx="6">
                  <c:v>0.000135266185374877</c:v>
                </c:pt>
                <c:pt idx="7">
                  <c:v>0.000135270003976</c:v>
                </c:pt>
                <c:pt idx="8">
                  <c:v>0.000135269817441623</c:v>
                </c:pt>
                <c:pt idx="9">
                  <c:v>0.000135269557725068</c:v>
                </c:pt>
              </c:numCache>
            </c:numRef>
          </c:yVal>
          <c:smooth val="0"/>
        </c:ser>
        <c:axId val="35804612"/>
        <c:axId val="71624917"/>
      </c:scatterChart>
      <c:valAx>
        <c:axId val="3580461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num_rings (varied value)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624917"/>
        <c:crosses val="autoZero"/>
        <c:crossBetween val="midCat"/>
      </c:valAx>
      <c:valAx>
        <c:axId val="71624917"/>
        <c:scaling>
          <c:logBase val="10"/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Relative Error / Residual (log scale)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804612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Eigenvalue Ratio: Relative Errors &amp; Residuals vs eig_2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'Eigenvalue Ratio'!K1</c:f>
              <c:strCache>
                <c:ptCount val="1"/>
                <c:pt idx="0">
                  <c:v>u_exact - u max_error_rel</c:v>
                </c:pt>
              </c:strCache>
            </c:strRef>
          </c:tx>
          <c:spPr>
            <a:solidFill>
              <a:srgbClr val="1f77b4"/>
            </a:solidFill>
            <a:ln w="20160">
              <a:solidFill>
                <a:srgbClr val="1f77b4"/>
              </a:solidFill>
              <a:round/>
            </a:ln>
          </c:spPr>
          <c:marker>
            <c:symbol val="circle"/>
            <c:size val="6"/>
            <c:spPr>
              <a:solidFill>
                <a:srgbClr val="1f77b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'Eigenvalue Ratio'!$Q$2:$Q$14</c:f>
              <c:numCache>
                <c:formatCode>General</c:formatCode>
                <c:ptCount val="13"/>
              </c:numCache>
            </c:numRef>
          </c:xVal>
          <c:yVal>
            <c:numRef>
              <c:f>'Eigenvalue Ratio'!$K$2:$K$14</c:f>
              <c:numCache>
                <c:formatCode>General</c:formatCode>
                <c:ptCount val="13"/>
                <c:pt idx="0">
                  <c:v>6.28077160541107E-005</c:v>
                </c:pt>
                <c:pt idx="1">
                  <c:v>3.13849096415789E-005</c:v>
                </c:pt>
                <c:pt idx="2">
                  <c:v>0.000114774536623571</c:v>
                </c:pt>
                <c:pt idx="3">
                  <c:v>9.51779191315052E-005</c:v>
                </c:pt>
                <c:pt idx="4">
                  <c:v>6.28064592607681E-005</c:v>
                </c:pt>
                <c:pt idx="5">
                  <c:v>0.000105188936235153</c:v>
                </c:pt>
                <c:pt idx="6">
                  <c:v>0.000164529455202035</c:v>
                </c:pt>
                <c:pt idx="7">
                  <c:v>0.000174841650551656</c:v>
                </c:pt>
                <c:pt idx="8">
                  <c:v>0.000183755049067177</c:v>
                </c:pt>
                <c:pt idx="9">
                  <c:v>0.000184914237558766</c:v>
                </c:pt>
                <c:pt idx="10">
                  <c:v>0.000185849129957042</c:v>
                </c:pt>
                <c:pt idx="11">
                  <c:v>0.00018596648733348</c:v>
                </c:pt>
                <c:pt idx="12">
                  <c:v>0.000186060474746931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'Eigenvalue Ratio'!L1</c:f>
              <c:strCache>
                <c:ptCount val="1"/>
                <c:pt idx="0">
                  <c:v>u_exact - u l2_error_rel</c:v>
                </c:pt>
              </c:strCache>
            </c:strRef>
          </c:tx>
          <c:spPr>
            <a:solidFill>
              <a:srgbClr val="ff7f0e"/>
            </a:solidFill>
            <a:ln w="20160">
              <a:solidFill>
                <a:srgbClr val="ff7f0e"/>
              </a:solidFill>
              <a:round/>
            </a:ln>
          </c:spPr>
          <c:marker>
            <c:symbol val="circle"/>
            <c:size val="6"/>
            <c:spPr>
              <a:solidFill>
                <a:srgbClr val="ff7f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'Eigenvalue Ratio'!$Q$2:$Q$14</c:f>
              <c:numCache>
                <c:formatCode>General</c:formatCode>
                <c:ptCount val="13"/>
              </c:numCache>
            </c:numRef>
          </c:xVal>
          <c:yVal>
            <c:numRef>
              <c:f>'Eigenvalue Ratio'!$L$2:$L$14</c:f>
              <c:numCache>
                <c:formatCode>General</c:formatCode>
                <c:ptCount val="13"/>
                <c:pt idx="0">
                  <c:v>4.93008618944601E-005</c:v>
                </c:pt>
                <c:pt idx="1">
                  <c:v>2.48875231072375E-005</c:v>
                </c:pt>
                <c:pt idx="2">
                  <c:v>6.45653244874035E-005</c:v>
                </c:pt>
                <c:pt idx="3">
                  <c:v>5.36889879688982E-005</c:v>
                </c:pt>
                <c:pt idx="4">
                  <c:v>4.929981906603E-005</c:v>
                </c:pt>
                <c:pt idx="5">
                  <c:v>8.96117741105246E-005</c:v>
                </c:pt>
                <c:pt idx="6">
                  <c:v>0.000148511048963447</c:v>
                </c:pt>
                <c:pt idx="7">
                  <c:v>0.000158806788285952</c:v>
                </c:pt>
                <c:pt idx="8">
                  <c:v>0.000167713114057145</c:v>
                </c:pt>
                <c:pt idx="9">
                  <c:v>0.000168871781535175</c:v>
                </c:pt>
                <c:pt idx="10">
                  <c:v>0.00016980629024978</c:v>
                </c:pt>
                <c:pt idx="11">
                  <c:v>0.000169923583016305</c:v>
                </c:pt>
                <c:pt idx="12">
                  <c:v>0.000170017492483917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'Eigenvalue Ratio'!M1</c:f>
              <c:strCache>
                <c:ptCount val="1"/>
                <c:pt idx="0">
                  <c:v>energy_error_rel</c:v>
                </c:pt>
              </c:strCache>
            </c:strRef>
          </c:tx>
          <c:spPr>
            <a:solidFill>
              <a:srgbClr val="2ca02c"/>
            </a:solidFill>
            <a:ln w="20160">
              <a:solidFill>
                <a:srgbClr val="2ca02c"/>
              </a:solidFill>
              <a:round/>
            </a:ln>
          </c:spPr>
          <c:marker>
            <c:symbol val="circle"/>
            <c:size val="6"/>
            <c:spPr>
              <a:solidFill>
                <a:srgbClr val="2ca02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'Eigenvalue Ratio'!$Q$2:$Q$14</c:f>
              <c:numCache>
                <c:formatCode>General</c:formatCode>
                <c:ptCount val="13"/>
              </c:numCache>
            </c:numRef>
          </c:xVal>
          <c:yVal>
            <c:numRef>
              <c:f>'Eigenvalue Ratio'!$M$2:$M$14</c:f>
              <c:numCache>
                <c:formatCode>General</c:formatCode>
                <c:ptCount val="13"/>
                <c:pt idx="0">
                  <c:v>5.61481960043733E-005</c:v>
                </c:pt>
                <c:pt idx="1">
                  <c:v>4.1135553605163E-005</c:v>
                </c:pt>
                <c:pt idx="2">
                  <c:v>6.45653244873104E-005</c:v>
                </c:pt>
                <c:pt idx="3">
                  <c:v>5.7892947962809E-005</c:v>
                </c:pt>
                <c:pt idx="4">
                  <c:v>5.61474639775167E-005</c:v>
                </c:pt>
                <c:pt idx="5">
                  <c:v>8.95716345446054E-005</c:v>
                </c:pt>
                <c:pt idx="6">
                  <c:v>0.000144011571261</c:v>
                </c:pt>
                <c:pt idx="7">
                  <c:v>0.000153805316251711</c:v>
                </c:pt>
                <c:pt idx="8">
                  <c:v>0.000162317495392564</c:v>
                </c:pt>
                <c:pt idx="9">
                  <c:v>0.00016342734348623</c:v>
                </c:pt>
                <c:pt idx="10">
                  <c:v>0.000164322867282643</c:v>
                </c:pt>
                <c:pt idx="11">
                  <c:v>0.000164435291228603</c:v>
                </c:pt>
                <c:pt idx="12">
                  <c:v>0.00016452530642203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'Eigenvalue Ratio'!N1</c:f>
              <c:strCache>
                <c:ptCount val="1"/>
                <c:pt idx="0">
                  <c:v>Lu_exact - F max_residual_rel</c:v>
                </c:pt>
              </c:strCache>
            </c:strRef>
          </c:tx>
          <c:spPr>
            <a:solidFill>
              <a:srgbClr val="d62728"/>
            </a:solidFill>
            <a:ln w="20160">
              <a:solidFill>
                <a:srgbClr val="d62728"/>
              </a:solidFill>
              <a:round/>
            </a:ln>
          </c:spPr>
          <c:marker>
            <c:symbol val="circle"/>
            <c:size val="6"/>
            <c:spPr>
              <a:solidFill>
                <a:srgbClr val="d6272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'Eigenvalue Ratio'!$Q$2:$Q$14</c:f>
              <c:numCache>
                <c:formatCode>General</c:formatCode>
                <c:ptCount val="13"/>
              </c:numCache>
            </c:numRef>
          </c:xVal>
          <c:yVal>
            <c:numRef>
              <c:f>'Eigenvalue Ratio'!$N$2:$N$14</c:f>
              <c:numCache>
                <c:formatCode>General</c:formatCode>
                <c:ptCount val="13"/>
                <c:pt idx="0">
                  <c:v>5.61621950741524E-005</c:v>
                </c:pt>
                <c:pt idx="1">
                  <c:v>4.3192805147138E-005</c:v>
                </c:pt>
                <c:pt idx="2">
                  <c:v>6.45694946794485E-005</c:v>
                </c:pt>
                <c:pt idx="3">
                  <c:v>6.00656303943597E-005</c:v>
                </c:pt>
                <c:pt idx="4">
                  <c:v>5.61620808556321E-005</c:v>
                </c:pt>
                <c:pt idx="5">
                  <c:v>6.88933441165821E-005</c:v>
                </c:pt>
                <c:pt idx="6">
                  <c:v>9.83054512670885E-005</c:v>
                </c:pt>
                <c:pt idx="7">
                  <c:v>0.00010344781610347</c:v>
                </c:pt>
                <c:pt idx="8">
                  <c:v>0.000107889455390407</c:v>
                </c:pt>
                <c:pt idx="9">
                  <c:v>0.000108466889736022</c:v>
                </c:pt>
                <c:pt idx="10">
                  <c:v>0.000108932550005048</c:v>
                </c:pt>
                <c:pt idx="11">
                  <c:v>0.00010899098983273</c:v>
                </c:pt>
                <c:pt idx="12">
                  <c:v>0.000109037781656438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'Eigenvalue Ratio'!O1</c:f>
              <c:strCache>
                <c:ptCount val="1"/>
                <c:pt idx="0">
                  <c:v>Lu_exact - F l2_residual_rel</c:v>
                </c:pt>
              </c:strCache>
            </c:strRef>
          </c:tx>
          <c:spPr>
            <a:solidFill>
              <a:srgbClr val="9467bd"/>
            </a:solidFill>
            <a:ln w="20160">
              <a:solidFill>
                <a:srgbClr val="9467bd"/>
              </a:solidFill>
              <a:round/>
            </a:ln>
          </c:spPr>
          <c:marker>
            <c:symbol val="circle"/>
            <c:size val="6"/>
            <c:spPr>
              <a:solidFill>
                <a:srgbClr val="9467b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'Eigenvalue Ratio'!$Q$2:$Q$14</c:f>
              <c:numCache>
                <c:formatCode>General</c:formatCode>
                <c:ptCount val="13"/>
              </c:numCache>
            </c:numRef>
          </c:xVal>
          <c:yVal>
            <c:numRef>
              <c:f>'Eigenvalue Ratio'!$O$2:$O$14</c:f>
              <c:numCache>
                <c:formatCode>General</c:formatCode>
                <c:ptCount val="13"/>
                <c:pt idx="0">
                  <c:v>7.04150089176861E-005</c:v>
                </c:pt>
                <c:pt idx="1">
                  <c:v>6.01570118256247E-005</c:v>
                </c:pt>
                <c:pt idx="2">
                  <c:v>6.45694934409244E-005</c:v>
                </c:pt>
                <c:pt idx="3">
                  <c:v>6.23950813632476E-005</c:v>
                </c:pt>
                <c:pt idx="4">
                  <c:v>7.04148029176214E-005</c:v>
                </c:pt>
                <c:pt idx="5">
                  <c:v>8.94429693047059E-005</c:v>
                </c:pt>
                <c:pt idx="6">
                  <c:v>0.000123347370715735</c:v>
                </c:pt>
                <c:pt idx="7">
                  <c:v>0.000129699694723824</c:v>
                </c:pt>
                <c:pt idx="8">
                  <c:v>0.000135263955203078</c:v>
                </c:pt>
                <c:pt idx="9">
                  <c:v>0.000135992144926347</c:v>
                </c:pt>
                <c:pt idx="10">
                  <c:v>0.000136580145669238</c:v>
                </c:pt>
                <c:pt idx="11">
                  <c:v>0.000136653990262249</c:v>
                </c:pt>
                <c:pt idx="12">
                  <c:v>0.000136713120216543</c:v>
                </c:pt>
              </c:numCache>
            </c:numRef>
          </c:yVal>
          <c:smooth val="0"/>
        </c:ser>
        <c:axId val="30372669"/>
        <c:axId val="917448"/>
      </c:scatterChart>
      <c:valAx>
        <c:axId val="3037266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eig_2 (varied value)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7448"/>
        <c:crosses val="autoZero"/>
        <c:crossBetween val="midCat"/>
      </c:valAx>
      <c:valAx>
        <c:axId val="917448"/>
        <c:scaling>
          <c:logBase val="10"/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Relative Error / Residual (log scale)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372669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Eigenvector Angle: Relative Errors &amp; Residuals vs angle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'Eigenvector Angle'!K1</c:f>
              <c:strCache>
                <c:ptCount val="1"/>
                <c:pt idx="0">
                  <c:v>u_exact - u max_error_rel</c:v>
                </c:pt>
              </c:strCache>
            </c:strRef>
          </c:tx>
          <c:spPr>
            <a:solidFill>
              <a:srgbClr val="1f77b4"/>
            </a:solidFill>
            <a:ln w="20160">
              <a:solidFill>
                <a:srgbClr val="1f77b4"/>
              </a:solidFill>
              <a:round/>
            </a:ln>
          </c:spPr>
          <c:marker>
            <c:symbol val="circle"/>
            <c:size val="6"/>
            <c:spPr>
              <a:solidFill>
                <a:srgbClr val="1f77b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'Eigenvector Angle'!$Q$2:$Q$10</c:f>
              <c:numCache>
                <c:formatCode>General</c:formatCode>
                <c:ptCount val="9"/>
              </c:numCache>
            </c:numRef>
          </c:xVal>
          <c:yVal>
            <c:numRef>
              <c:f>'Eigenvector Angle'!$K$2:$K$10</c:f>
              <c:numCache>
                <c:formatCode>General</c:formatCode>
                <c:ptCount val="9"/>
                <c:pt idx="0">
                  <c:v>0.000183757716351203</c:v>
                </c:pt>
                <c:pt idx="1">
                  <c:v>0.578669119314733</c:v>
                </c:pt>
                <c:pt idx="2">
                  <c:v>0.637891723396039</c:v>
                </c:pt>
                <c:pt idx="3">
                  <c:v>0.578669119262475</c:v>
                </c:pt>
                <c:pt idx="4">
                  <c:v>0.000183755049067177</c:v>
                </c:pt>
                <c:pt idx="5">
                  <c:v>0.578669119263384</c:v>
                </c:pt>
                <c:pt idx="6">
                  <c:v>0.637891723403529</c:v>
                </c:pt>
                <c:pt idx="7">
                  <c:v>0.578669119331254</c:v>
                </c:pt>
                <c:pt idx="8">
                  <c:v>0.000183757716351203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'Eigenvector Angle'!L1</c:f>
              <c:strCache>
                <c:ptCount val="1"/>
                <c:pt idx="0">
                  <c:v>u_exact - u l2_error_rel</c:v>
                </c:pt>
              </c:strCache>
            </c:strRef>
          </c:tx>
          <c:spPr>
            <a:solidFill>
              <a:srgbClr val="ff7f0e"/>
            </a:solidFill>
            <a:ln w="20160">
              <a:solidFill>
                <a:srgbClr val="ff7f0e"/>
              </a:solidFill>
              <a:round/>
            </a:ln>
          </c:spPr>
          <c:marker>
            <c:symbol val="circle"/>
            <c:size val="6"/>
            <c:spPr>
              <a:solidFill>
                <a:srgbClr val="ff7f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'Eigenvector Angle'!$Q$2:$Q$10</c:f>
              <c:numCache>
                <c:formatCode>General</c:formatCode>
                <c:ptCount val="9"/>
              </c:numCache>
            </c:numRef>
          </c:xVal>
          <c:yVal>
            <c:numRef>
              <c:f>'Eigenvector Angle'!$L$2:$L$10</c:f>
              <c:numCache>
                <c:formatCode>General</c:formatCode>
                <c:ptCount val="9"/>
                <c:pt idx="0">
                  <c:v>0.000167715578199433</c:v>
                </c:pt>
                <c:pt idx="1">
                  <c:v>0.418658170220987</c:v>
                </c:pt>
                <c:pt idx="2">
                  <c:v>0.482735276765573</c:v>
                </c:pt>
                <c:pt idx="3">
                  <c:v>0.418658170107049</c:v>
                </c:pt>
                <c:pt idx="4">
                  <c:v>0.000167713114057145</c:v>
                </c:pt>
                <c:pt idx="5">
                  <c:v>0.418658170103249</c:v>
                </c:pt>
                <c:pt idx="6">
                  <c:v>0.482735276759656</c:v>
                </c:pt>
                <c:pt idx="7">
                  <c:v>0.41865817021671</c:v>
                </c:pt>
                <c:pt idx="8">
                  <c:v>0.000167715578199433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'Eigenvector Angle'!M1</c:f>
              <c:strCache>
                <c:ptCount val="1"/>
                <c:pt idx="0">
                  <c:v>energy_error_rel</c:v>
                </c:pt>
              </c:strCache>
            </c:strRef>
          </c:tx>
          <c:spPr>
            <a:solidFill>
              <a:srgbClr val="2ca02c"/>
            </a:solidFill>
            <a:ln w="20160">
              <a:solidFill>
                <a:srgbClr val="2ca02c"/>
              </a:solidFill>
              <a:round/>
            </a:ln>
          </c:spPr>
          <c:marker>
            <c:symbol val="circle"/>
            <c:size val="6"/>
            <c:spPr>
              <a:solidFill>
                <a:srgbClr val="2ca02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'Eigenvector Angle'!$Q$2:$Q$10</c:f>
              <c:numCache>
                <c:formatCode>General</c:formatCode>
                <c:ptCount val="9"/>
              </c:numCache>
            </c:numRef>
          </c:xVal>
          <c:yVal>
            <c:numRef>
              <c:f>'Eigenvector Angle'!$M$2:$M$10</c:f>
              <c:numCache>
                <c:formatCode>General</c:formatCode>
                <c:ptCount val="9"/>
                <c:pt idx="0">
                  <c:v>0.000162319823063986</c:v>
                </c:pt>
                <c:pt idx="1">
                  <c:v>0.493373286633373</c:v>
                </c:pt>
                <c:pt idx="2">
                  <c:v>0.476499926492424</c:v>
                </c:pt>
                <c:pt idx="3">
                  <c:v>0.493372845485697</c:v>
                </c:pt>
                <c:pt idx="4">
                  <c:v>0.000162317495392564</c:v>
                </c:pt>
                <c:pt idx="5">
                  <c:v>0.49337318781674</c:v>
                </c:pt>
                <c:pt idx="6">
                  <c:v>0.476500272918856</c:v>
                </c:pt>
                <c:pt idx="7">
                  <c:v>0.493373692486197</c:v>
                </c:pt>
                <c:pt idx="8">
                  <c:v>0.000162319823063982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'Eigenvector Angle'!N1</c:f>
              <c:strCache>
                <c:ptCount val="1"/>
                <c:pt idx="0">
                  <c:v>Lu_exact - F max_residual_rel</c:v>
                </c:pt>
              </c:strCache>
            </c:strRef>
          </c:tx>
          <c:spPr>
            <a:solidFill>
              <a:srgbClr val="d62728"/>
            </a:solidFill>
            <a:ln w="20160">
              <a:solidFill>
                <a:srgbClr val="d62728"/>
              </a:solidFill>
              <a:round/>
            </a:ln>
          </c:spPr>
          <c:marker>
            <c:symbol val="circle"/>
            <c:size val="6"/>
            <c:spPr>
              <a:solidFill>
                <a:srgbClr val="d6272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'Eigenvector Angle'!$Q$2:$Q$10</c:f>
              <c:numCache>
                <c:formatCode>General</c:formatCode>
                <c:ptCount val="9"/>
              </c:numCache>
            </c:numRef>
          </c:xVal>
          <c:yVal>
            <c:numRef>
              <c:f>'Eigenvector Angle'!$N$2:$N$10</c:f>
              <c:numCache>
                <c:formatCode>General</c:formatCode>
                <c:ptCount val="9"/>
                <c:pt idx="0">
                  <c:v>0.000107890443710193</c:v>
                </c:pt>
                <c:pt idx="1">
                  <c:v>0.616477509358639</c:v>
                </c:pt>
                <c:pt idx="2">
                  <c:v>0.598407355739381</c:v>
                </c:pt>
                <c:pt idx="3">
                  <c:v>0.616477509358781</c:v>
                </c:pt>
                <c:pt idx="4">
                  <c:v>0.000107889455390407</c:v>
                </c:pt>
                <c:pt idx="5">
                  <c:v>0.616477509358774</c:v>
                </c:pt>
                <c:pt idx="6">
                  <c:v>0.5984073557394</c:v>
                </c:pt>
                <c:pt idx="7">
                  <c:v>0.616477509358642</c:v>
                </c:pt>
                <c:pt idx="8">
                  <c:v>0.000107890443710193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'Eigenvector Angle'!O1</c:f>
              <c:strCache>
                <c:ptCount val="1"/>
                <c:pt idx="0">
                  <c:v>Lu_exact - F l2_residual_rel</c:v>
                </c:pt>
              </c:strCache>
            </c:strRef>
          </c:tx>
          <c:spPr>
            <a:solidFill>
              <a:srgbClr val="9467bd"/>
            </a:solidFill>
            <a:ln w="20160">
              <a:solidFill>
                <a:srgbClr val="9467bd"/>
              </a:solidFill>
              <a:round/>
            </a:ln>
          </c:spPr>
          <c:marker>
            <c:symbol val="circle"/>
            <c:size val="6"/>
            <c:spPr>
              <a:solidFill>
                <a:srgbClr val="9467b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'Eigenvector Angle'!$Q$2:$Q$10</c:f>
              <c:numCache>
                <c:formatCode>General</c:formatCode>
                <c:ptCount val="9"/>
              </c:numCache>
            </c:numRef>
          </c:xVal>
          <c:yVal>
            <c:numRef>
              <c:f>'Eigenvector Angle'!$O$2:$O$10</c:f>
              <c:numCache>
                <c:formatCode>General</c:formatCode>
                <c:ptCount val="9"/>
                <c:pt idx="0">
                  <c:v>0.000135265394755134</c:v>
                </c:pt>
                <c:pt idx="1">
                  <c:v>0.550228346855718</c:v>
                </c:pt>
                <c:pt idx="2">
                  <c:v>0.510728827114065</c:v>
                </c:pt>
                <c:pt idx="3">
                  <c:v>0.550228346857172</c:v>
                </c:pt>
                <c:pt idx="4">
                  <c:v>0.000135263955203078</c:v>
                </c:pt>
                <c:pt idx="5">
                  <c:v>0.550228346853374</c:v>
                </c:pt>
                <c:pt idx="6">
                  <c:v>0.51072882711048</c:v>
                </c:pt>
                <c:pt idx="7">
                  <c:v>0.550228346854745</c:v>
                </c:pt>
                <c:pt idx="8">
                  <c:v>0.000135265394755134</c:v>
                </c:pt>
              </c:numCache>
            </c:numRef>
          </c:yVal>
          <c:smooth val="0"/>
        </c:ser>
        <c:axId val="85468191"/>
        <c:axId val="12189553"/>
      </c:scatterChart>
      <c:valAx>
        <c:axId val="8546819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angle (varied value)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189553"/>
        <c:crosses val="autoZero"/>
        <c:crossBetween val="midCat"/>
      </c:valAx>
      <c:valAx>
        <c:axId val="12189553"/>
        <c:scaling>
          <c:logBase val="10"/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Relative Error / Residual (log scale)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468191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1</xdr:row>
      <xdr:rowOff>0</xdr:rowOff>
    </xdr:from>
    <xdr:to>
      <xdr:col>30</xdr:col>
      <xdr:colOff>581400</xdr:colOff>
      <xdr:row>23</xdr:row>
      <xdr:rowOff>128520</xdr:rowOff>
    </xdr:to>
    <xdr:graphicFrame>
      <xdr:nvGraphicFramePr>
        <xdr:cNvPr id="0" name="Chart 1"/>
        <xdr:cNvGraphicFramePr/>
      </xdr:nvGraphicFramePr>
      <xdr:xfrm>
        <a:off x="11007000" y="190440"/>
        <a:ext cx="791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1</xdr:row>
      <xdr:rowOff>0</xdr:rowOff>
    </xdr:from>
    <xdr:to>
      <xdr:col>30</xdr:col>
      <xdr:colOff>581400</xdr:colOff>
      <xdr:row>23</xdr:row>
      <xdr:rowOff>128520</xdr:rowOff>
    </xdr:to>
    <xdr:graphicFrame>
      <xdr:nvGraphicFramePr>
        <xdr:cNvPr id="1" name="Chart 1"/>
        <xdr:cNvGraphicFramePr/>
      </xdr:nvGraphicFramePr>
      <xdr:xfrm>
        <a:off x="11007000" y="190440"/>
        <a:ext cx="791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1</xdr:row>
      <xdr:rowOff>0</xdr:rowOff>
    </xdr:from>
    <xdr:to>
      <xdr:col>30</xdr:col>
      <xdr:colOff>581400</xdr:colOff>
      <xdr:row>23</xdr:row>
      <xdr:rowOff>128520</xdr:rowOff>
    </xdr:to>
    <xdr:graphicFrame>
      <xdr:nvGraphicFramePr>
        <xdr:cNvPr id="2" name="Chart 1"/>
        <xdr:cNvGraphicFramePr/>
      </xdr:nvGraphicFramePr>
      <xdr:xfrm>
        <a:off x="11007000" y="190440"/>
        <a:ext cx="791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1</xdr:row>
      <xdr:rowOff>0</xdr:rowOff>
    </xdr:from>
    <xdr:to>
      <xdr:col>30</xdr:col>
      <xdr:colOff>581400</xdr:colOff>
      <xdr:row>23</xdr:row>
      <xdr:rowOff>128520</xdr:rowOff>
    </xdr:to>
    <xdr:graphicFrame>
      <xdr:nvGraphicFramePr>
        <xdr:cNvPr id="3" name="Chart 1"/>
        <xdr:cNvGraphicFramePr/>
      </xdr:nvGraphicFramePr>
      <xdr:xfrm>
        <a:off x="11007000" y="190440"/>
        <a:ext cx="791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1</xdr:row>
      <xdr:rowOff>0</xdr:rowOff>
    </xdr:from>
    <xdr:to>
      <xdr:col>30</xdr:col>
      <xdr:colOff>581400</xdr:colOff>
      <xdr:row>23</xdr:row>
      <xdr:rowOff>128520</xdr:rowOff>
    </xdr:to>
    <xdr:graphicFrame>
      <xdr:nvGraphicFramePr>
        <xdr:cNvPr id="4" name="Chart 1"/>
        <xdr:cNvGraphicFramePr/>
      </xdr:nvGraphicFramePr>
      <xdr:xfrm>
        <a:off x="11007000" y="190440"/>
        <a:ext cx="791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1</xdr:row>
      <xdr:rowOff>0</xdr:rowOff>
    </xdr:from>
    <xdr:to>
      <xdr:col>30</xdr:col>
      <xdr:colOff>581400</xdr:colOff>
      <xdr:row>23</xdr:row>
      <xdr:rowOff>128520</xdr:rowOff>
    </xdr:to>
    <xdr:graphicFrame>
      <xdr:nvGraphicFramePr>
        <xdr:cNvPr id="5" name="Chart 1"/>
        <xdr:cNvGraphicFramePr/>
      </xdr:nvGraphicFramePr>
      <xdr:xfrm>
        <a:off x="11007000" y="190440"/>
        <a:ext cx="791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</row>
    <row r="2" customFormat="false" ht="15" hidden="false" customHeight="false" outlineLevel="0" collapsed="false">
      <c r="A2" s="0" t="n">
        <v>20</v>
      </c>
      <c r="B2" s="0" t="n">
        <v>20</v>
      </c>
      <c r="C2" s="0" t="n">
        <v>4</v>
      </c>
      <c r="D2" s="0" t="n">
        <v>5</v>
      </c>
      <c r="E2" s="0" t="n">
        <v>5</v>
      </c>
      <c r="F2" s="0" t="s">
        <v>17</v>
      </c>
      <c r="G2" s="0" t="s">
        <v>18</v>
      </c>
      <c r="H2" s="0" t="s">
        <v>19</v>
      </c>
      <c r="I2" s="1" t="b">
        <f aca="false">FALSE()</f>
        <v>0</v>
      </c>
      <c r="J2" s="1" t="b">
        <f aca="false">TRUE()</f>
        <v>1</v>
      </c>
      <c r="K2" s="0" t="n">
        <v>0.0259487695966695</v>
      </c>
      <c r="L2" s="0" t="n">
        <v>0.0237764165000369</v>
      </c>
      <c r="M2" s="0" t="n">
        <v>0.0230447152126941</v>
      </c>
      <c r="N2" s="0" t="n">
        <v>0.0152758227817162</v>
      </c>
      <c r="O2" s="0" t="n">
        <v>0.0188110742149167</v>
      </c>
      <c r="P2" s="0" t="s">
        <v>20</v>
      </c>
      <c r="Q2" s="0" t="n">
        <v>20</v>
      </c>
    </row>
    <row r="3" customFormat="false" ht="15" hidden="false" customHeight="false" outlineLevel="0" collapsed="false">
      <c r="A3" s="0" t="n">
        <v>30</v>
      </c>
      <c r="B3" s="0" t="n">
        <v>30</v>
      </c>
      <c r="C3" s="0" t="n">
        <v>4</v>
      </c>
      <c r="D3" s="0" t="n">
        <v>5</v>
      </c>
      <c r="E3" s="0" t="n">
        <v>5</v>
      </c>
      <c r="F3" s="0" t="s">
        <v>17</v>
      </c>
      <c r="G3" s="0" t="s">
        <v>18</v>
      </c>
      <c r="H3" s="0" t="s">
        <v>19</v>
      </c>
      <c r="I3" s="1" t="b">
        <f aca="false">FALSE()</f>
        <v>0</v>
      </c>
      <c r="J3" s="1" t="b">
        <f aca="false">TRUE()</f>
        <v>1</v>
      </c>
      <c r="K3" s="0" t="n">
        <v>0.0119703234769257</v>
      </c>
      <c r="L3" s="0" t="n">
        <v>0.0109591978251372</v>
      </c>
      <c r="M3" s="0" t="n">
        <v>0.0106151287892943</v>
      </c>
      <c r="N3" s="0" t="n">
        <v>0.00702249570182444</v>
      </c>
      <c r="O3" s="0" t="n">
        <v>0.00876068302411821</v>
      </c>
      <c r="P3" s="0" t="s">
        <v>20</v>
      </c>
      <c r="Q3" s="0" t="n">
        <v>30</v>
      </c>
    </row>
    <row r="4" customFormat="false" ht="15" hidden="false" customHeight="false" outlineLevel="0" collapsed="false">
      <c r="A4" s="0" t="n">
        <v>50</v>
      </c>
      <c r="B4" s="0" t="n">
        <v>50</v>
      </c>
      <c r="C4" s="0" t="n">
        <v>4</v>
      </c>
      <c r="D4" s="0" t="n">
        <v>5</v>
      </c>
      <c r="E4" s="0" t="n">
        <v>5</v>
      </c>
      <c r="F4" s="0" t="s">
        <v>17</v>
      </c>
      <c r="G4" s="0" t="s">
        <v>18</v>
      </c>
      <c r="H4" s="0" t="s">
        <v>19</v>
      </c>
      <c r="I4" s="1" t="b">
        <f aca="false">FALSE()</f>
        <v>0</v>
      </c>
      <c r="J4" s="1" t="b">
        <f aca="false">TRUE()</f>
        <v>1</v>
      </c>
      <c r="K4" s="0" t="n">
        <v>0.00444060520935125</v>
      </c>
      <c r="L4" s="0" t="n">
        <v>0.00405780432848876</v>
      </c>
      <c r="M4" s="0" t="n">
        <v>0.00392831788533428</v>
      </c>
      <c r="N4" s="0" t="n">
        <v>0.00260693943918085</v>
      </c>
      <c r="O4" s="0" t="n">
        <v>0.00326217299343161</v>
      </c>
      <c r="P4" s="0" t="s">
        <v>20</v>
      </c>
      <c r="Q4" s="0" t="n">
        <v>50</v>
      </c>
    </row>
    <row r="5" customFormat="false" ht="15" hidden="false" customHeight="false" outlineLevel="0" collapsed="false">
      <c r="A5" s="0" t="n">
        <v>75</v>
      </c>
      <c r="B5" s="0" t="n">
        <v>75</v>
      </c>
      <c r="C5" s="0" t="n">
        <v>4</v>
      </c>
      <c r="D5" s="0" t="n">
        <v>5</v>
      </c>
      <c r="E5" s="0" t="n">
        <v>5</v>
      </c>
      <c r="F5" s="0" t="s">
        <v>17</v>
      </c>
      <c r="G5" s="0" t="s">
        <v>18</v>
      </c>
      <c r="H5" s="0" t="s">
        <v>19</v>
      </c>
      <c r="I5" s="1" t="b">
        <f aca="false">FALSE()</f>
        <v>0</v>
      </c>
      <c r="J5" s="1" t="b">
        <f aca="false">TRUE()</f>
        <v>1</v>
      </c>
      <c r="K5" s="0" t="n">
        <v>0.00200553566217106</v>
      </c>
      <c r="L5" s="0" t="n">
        <v>0.00182847750003162</v>
      </c>
      <c r="M5" s="0" t="n">
        <v>0.00176984302313405</v>
      </c>
      <c r="N5" s="0" t="n">
        <v>0.00117439221676503</v>
      </c>
      <c r="O5" s="0" t="n">
        <v>0.00147266760761233</v>
      </c>
      <c r="P5" s="0" t="s">
        <v>20</v>
      </c>
      <c r="Q5" s="0" t="n">
        <v>75</v>
      </c>
    </row>
    <row r="6" customFormat="false" ht="15" hidden="false" customHeight="false" outlineLevel="0" collapsed="false">
      <c r="A6" s="0" t="n">
        <v>100</v>
      </c>
      <c r="B6" s="0" t="n">
        <v>100</v>
      </c>
      <c r="C6" s="0" t="n">
        <v>4</v>
      </c>
      <c r="D6" s="0" t="n">
        <v>5</v>
      </c>
      <c r="E6" s="0" t="n">
        <v>5</v>
      </c>
      <c r="F6" s="0" t="s">
        <v>17</v>
      </c>
      <c r="G6" s="0" t="s">
        <v>18</v>
      </c>
      <c r="H6" s="0" t="s">
        <v>19</v>
      </c>
      <c r="I6" s="1" t="b">
        <f aca="false">FALSE()</f>
        <v>0</v>
      </c>
      <c r="J6" s="1" t="b">
        <f aca="false">TRUE()</f>
        <v>1</v>
      </c>
      <c r="K6" s="0" t="n">
        <v>0.00113579369521233</v>
      </c>
      <c r="L6" s="0" t="n">
        <v>0.00103555656359563</v>
      </c>
      <c r="M6" s="0" t="n">
        <v>0.00100229337896393</v>
      </c>
      <c r="N6" s="0" t="n">
        <v>0.000665702494941885</v>
      </c>
      <c r="O6" s="0" t="n">
        <v>0.000834591337559552</v>
      </c>
      <c r="P6" s="0" t="s">
        <v>20</v>
      </c>
      <c r="Q6" s="0" t="n">
        <v>100</v>
      </c>
    </row>
    <row r="7" customFormat="false" ht="15" hidden="false" customHeight="false" outlineLevel="0" collapsed="false">
      <c r="A7" s="0" t="n">
        <v>125</v>
      </c>
      <c r="B7" s="0" t="n">
        <v>125</v>
      </c>
      <c r="C7" s="0" t="n">
        <v>4</v>
      </c>
      <c r="D7" s="0" t="n">
        <v>5</v>
      </c>
      <c r="E7" s="0" t="n">
        <v>5</v>
      </c>
      <c r="F7" s="0" t="s">
        <v>17</v>
      </c>
      <c r="G7" s="0" t="s">
        <v>18</v>
      </c>
      <c r="H7" s="0" t="s">
        <v>19</v>
      </c>
      <c r="I7" s="1" t="b">
        <f aca="false">FALSE()</f>
        <v>0</v>
      </c>
      <c r="J7" s="1" t="b">
        <f aca="false">TRUE()</f>
        <v>1</v>
      </c>
      <c r="K7" s="0" t="n">
        <v>0.000729457484804991</v>
      </c>
      <c r="L7" s="0" t="n">
        <v>0.000665460086012631</v>
      </c>
      <c r="M7" s="0" t="n">
        <v>0.000644070252806318</v>
      </c>
      <c r="N7" s="0" t="n">
        <v>0.00042785341247955</v>
      </c>
      <c r="O7" s="0" t="n">
        <v>0.000536481930833421</v>
      </c>
      <c r="P7" s="0" t="s">
        <v>20</v>
      </c>
      <c r="Q7" s="0" t="n">
        <v>125</v>
      </c>
    </row>
    <row r="8" customFormat="false" ht="15" hidden="false" customHeight="false" outlineLevel="0" collapsed="false">
      <c r="A8" s="0" t="n">
        <v>150</v>
      </c>
      <c r="B8" s="0" t="n">
        <v>150</v>
      </c>
      <c r="C8" s="0" t="n">
        <v>4</v>
      </c>
      <c r="D8" s="0" t="n">
        <v>5</v>
      </c>
      <c r="E8" s="0" t="n">
        <v>5</v>
      </c>
      <c r="F8" s="0" t="s">
        <v>17</v>
      </c>
      <c r="G8" s="0" t="s">
        <v>18</v>
      </c>
      <c r="H8" s="0" t="s">
        <v>19</v>
      </c>
      <c r="I8" s="1" t="b">
        <f aca="false">FALSE()</f>
        <v>0</v>
      </c>
      <c r="J8" s="1" t="b">
        <f aca="false">TRUE()</f>
        <v>1</v>
      </c>
      <c r="K8" s="0" t="n">
        <v>0.00050765466208674</v>
      </c>
      <c r="L8" s="0" t="n">
        <v>0.000463377111264786</v>
      </c>
      <c r="M8" s="0" t="n">
        <v>0.000448477406369399</v>
      </c>
      <c r="N8" s="0" t="n">
        <v>0.00029801354721815</v>
      </c>
      <c r="O8" s="0" t="n">
        <v>0.00037362879301992</v>
      </c>
      <c r="P8" s="0" t="s">
        <v>20</v>
      </c>
      <c r="Q8" s="0" t="n">
        <v>150</v>
      </c>
    </row>
    <row r="9" customFormat="false" ht="15" hidden="false" customHeight="false" outlineLevel="0" collapsed="false">
      <c r="A9" s="0" t="n">
        <v>175</v>
      </c>
      <c r="B9" s="0" t="n">
        <v>175</v>
      </c>
      <c r="C9" s="0" t="n">
        <v>4</v>
      </c>
      <c r="D9" s="0" t="n">
        <v>5</v>
      </c>
      <c r="E9" s="0" t="n">
        <v>5</v>
      </c>
      <c r="F9" s="0" t="s">
        <v>17</v>
      </c>
      <c r="G9" s="0" t="s">
        <v>18</v>
      </c>
      <c r="H9" s="0" t="s">
        <v>19</v>
      </c>
      <c r="I9" s="1" t="b">
        <f aca="false">FALSE()</f>
        <v>0</v>
      </c>
      <c r="J9" s="1" t="b">
        <f aca="false">TRUE()</f>
        <v>1</v>
      </c>
      <c r="K9" s="0" t="n">
        <v>0.000373732060534501</v>
      </c>
      <c r="L9" s="0" t="n">
        <v>0.00034109858108812</v>
      </c>
      <c r="M9" s="0" t="n">
        <v>0.000330128305571196</v>
      </c>
      <c r="N9" s="0" t="n">
        <v>0.000219359621600376</v>
      </c>
      <c r="O9" s="0" t="n">
        <v>0.000275061146820297</v>
      </c>
      <c r="P9" s="0" t="s">
        <v>20</v>
      </c>
      <c r="Q9" s="0" t="n">
        <v>175</v>
      </c>
    </row>
    <row r="10" customFormat="false" ht="15" hidden="false" customHeight="false" outlineLevel="0" collapsed="false">
      <c r="A10" s="0" t="n">
        <v>200</v>
      </c>
      <c r="B10" s="0" t="n">
        <v>200</v>
      </c>
      <c r="C10" s="0" t="n">
        <v>4</v>
      </c>
      <c r="D10" s="0" t="n">
        <v>5</v>
      </c>
      <c r="E10" s="0" t="n">
        <v>5</v>
      </c>
      <c r="F10" s="0" t="s">
        <v>17</v>
      </c>
      <c r="G10" s="0" t="s">
        <v>18</v>
      </c>
      <c r="H10" s="0" t="s">
        <v>19</v>
      </c>
      <c r="I10" s="1" t="b">
        <f aca="false">FALSE()</f>
        <v>0</v>
      </c>
      <c r="J10" s="1" t="b">
        <f aca="false">TRUE()</f>
        <v>1</v>
      </c>
      <c r="K10" s="0" t="n">
        <v>0.0002865639041114</v>
      </c>
      <c r="L10" s="0" t="n">
        <v>0.000261526972724805</v>
      </c>
      <c r="M10" s="0" t="n">
        <v>0.000253114657244297</v>
      </c>
      <c r="N10" s="0" t="n">
        <v>0.000168229932801213</v>
      </c>
      <c r="O10" s="0" t="n">
        <v>0.000210909524496917</v>
      </c>
      <c r="P10" s="0" t="s">
        <v>20</v>
      </c>
      <c r="Q10" s="0" t="n">
        <v>200</v>
      </c>
    </row>
    <row r="11" customFormat="false" ht="15" hidden="false" customHeight="false" outlineLevel="0" collapsed="false">
      <c r="A11" s="0" t="n">
        <v>250</v>
      </c>
      <c r="B11" s="0" t="n">
        <v>250</v>
      </c>
      <c r="C11" s="0" t="n">
        <v>4</v>
      </c>
      <c r="D11" s="0" t="n">
        <v>5</v>
      </c>
      <c r="E11" s="0" t="n">
        <v>5</v>
      </c>
      <c r="F11" s="0" t="s">
        <v>17</v>
      </c>
      <c r="G11" s="0" t="s">
        <v>18</v>
      </c>
      <c r="H11" s="0" t="s">
        <v>19</v>
      </c>
      <c r="I11" s="1" t="b">
        <f aca="false">FALSE()</f>
        <v>0</v>
      </c>
      <c r="J11" s="1" t="b">
        <f aca="false">TRUE()</f>
        <v>1</v>
      </c>
      <c r="K11" s="0" t="n">
        <v>0.000183755049067177</v>
      </c>
      <c r="L11" s="0" t="n">
        <v>0.000167713114057145</v>
      </c>
      <c r="M11" s="0" t="n">
        <v>0.000162317495392564</v>
      </c>
      <c r="N11" s="0" t="n">
        <v>0.000107889455390407</v>
      </c>
      <c r="O11" s="0" t="n">
        <v>0.000135263955203078</v>
      </c>
      <c r="P11" s="0" t="s">
        <v>20</v>
      </c>
      <c r="Q11" s="0" t="n">
        <v>250</v>
      </c>
    </row>
    <row r="12" customFormat="false" ht="15" hidden="false" customHeight="false" outlineLevel="0" collapsed="false">
      <c r="A12" s="0" t="n">
        <v>300</v>
      </c>
      <c r="B12" s="0" t="n">
        <v>300</v>
      </c>
      <c r="C12" s="0" t="n">
        <v>4</v>
      </c>
      <c r="D12" s="0" t="n">
        <v>5</v>
      </c>
      <c r="E12" s="0" t="n">
        <v>5</v>
      </c>
      <c r="F12" s="0" t="s">
        <v>17</v>
      </c>
      <c r="G12" s="0" t="s">
        <v>18</v>
      </c>
      <c r="H12" s="0" t="s">
        <v>19</v>
      </c>
      <c r="I12" s="1" t="b">
        <f aca="false">FALSE()</f>
        <v>0</v>
      </c>
      <c r="J12" s="1" t="b">
        <f aca="false">TRUE()</f>
        <v>1</v>
      </c>
      <c r="K12" s="0" t="n">
        <v>0.000127784644723467</v>
      </c>
      <c r="L12" s="0" t="n">
        <v>0.000116623298644929</v>
      </c>
      <c r="M12" s="0" t="n">
        <v>0.000112870961325473</v>
      </c>
      <c r="N12" s="0" t="n">
        <v>7.50256342370092E-005</v>
      </c>
      <c r="O12" s="0" t="n">
        <v>9.40630206780255E-005</v>
      </c>
      <c r="P12" s="0" t="s">
        <v>20</v>
      </c>
      <c r="Q12" s="0" t="n">
        <v>300</v>
      </c>
    </row>
    <row r="13" customFormat="false" ht="15" hidden="false" customHeight="false" outlineLevel="0" collapsed="false">
      <c r="A13" s="0" t="n">
        <v>500</v>
      </c>
      <c r="B13" s="0" t="n">
        <v>500</v>
      </c>
      <c r="C13" s="0" t="n">
        <v>4</v>
      </c>
      <c r="D13" s="0" t="n">
        <v>5</v>
      </c>
      <c r="E13" s="0" t="n">
        <v>5</v>
      </c>
      <c r="F13" s="0" t="s">
        <v>17</v>
      </c>
      <c r="G13" s="0" t="s">
        <v>18</v>
      </c>
      <c r="H13" s="0" t="s">
        <v>19</v>
      </c>
      <c r="I13" s="1" t="b">
        <f aca="false">FALSE()</f>
        <v>0</v>
      </c>
      <c r="J13" s="1" t="b">
        <f aca="false">TRUE()</f>
        <v>1</v>
      </c>
      <c r="K13" s="0" t="n">
        <v>4.60965484577719E-005</v>
      </c>
      <c r="L13" s="0" t="n">
        <v>4.20694443780682E-005</v>
      </c>
      <c r="M13" s="0" t="n">
        <v>4.07165538795466E-005</v>
      </c>
      <c r="N13" s="0" t="n">
        <v>2.70680643915973E-005</v>
      </c>
      <c r="O13" s="0" t="n">
        <v>3.39392022331379E-005</v>
      </c>
      <c r="P13" s="0" t="s">
        <v>20</v>
      </c>
      <c r="Q13" s="0" t="n">
        <v>500</v>
      </c>
    </row>
    <row r="14" customFormat="false" ht="15" hidden="false" customHeight="false" outlineLevel="0" collapsed="false">
      <c r="A14" s="0" t="n">
        <v>750</v>
      </c>
      <c r="B14" s="0" t="n">
        <v>750</v>
      </c>
      <c r="C14" s="0" t="n">
        <v>4</v>
      </c>
      <c r="D14" s="0" t="n">
        <v>5</v>
      </c>
      <c r="E14" s="0" t="n">
        <v>5</v>
      </c>
      <c r="F14" s="0" t="s">
        <v>17</v>
      </c>
      <c r="G14" s="0" t="s">
        <v>18</v>
      </c>
      <c r="H14" s="0" t="s">
        <v>19</v>
      </c>
      <c r="I14" s="1" t="b">
        <f aca="false">FALSE()</f>
        <v>0</v>
      </c>
      <c r="J14" s="1" t="b">
        <f aca="false">TRUE()</f>
        <v>1</v>
      </c>
      <c r="K14" s="0" t="n">
        <v>2.08635061624859E-005</v>
      </c>
      <c r="L14" s="0" t="n">
        <v>1.9048622889499E-005</v>
      </c>
      <c r="M14" s="0" t="n">
        <v>1.84254562980847E-005</v>
      </c>
      <c r="N14" s="0" t="n">
        <v>1.22013024683598E-005</v>
      </c>
      <c r="O14" s="0" t="n">
        <v>1.529756731774E-005</v>
      </c>
      <c r="P14" s="0" t="s">
        <v>20</v>
      </c>
      <c r="Q14" s="0" t="n">
        <v>750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</row>
    <row r="2" customFormat="false" ht="15" hidden="false" customHeight="false" outlineLevel="0" collapsed="false">
      <c r="A2" s="0" t="n">
        <v>250</v>
      </c>
      <c r="B2" s="0" t="n">
        <v>250</v>
      </c>
      <c r="C2" s="0" t="n">
        <v>0.05</v>
      </c>
      <c r="D2" s="0" t="n">
        <v>5</v>
      </c>
      <c r="E2" s="0" t="n">
        <v>5</v>
      </c>
      <c r="F2" s="0" t="s">
        <v>17</v>
      </c>
      <c r="G2" s="0" t="s">
        <v>18</v>
      </c>
      <c r="H2" s="0" t="s">
        <v>19</v>
      </c>
      <c r="I2" s="1" t="b">
        <f aca="false">FALSE()</f>
        <v>0</v>
      </c>
      <c r="J2" s="1" t="b">
        <f aca="false">TRUE()</f>
        <v>1</v>
      </c>
      <c r="K2" s="0" t="n">
        <v>4212.69257093497</v>
      </c>
      <c r="L2" s="0" t="n">
        <v>2796.43591112467</v>
      </c>
      <c r="M2" s="0" t="n">
        <v>5943.04529709584</v>
      </c>
      <c r="N2" s="0" t="n">
        <v>0.999720623150323</v>
      </c>
      <c r="O2" s="0" t="n">
        <v>0.999720648034024</v>
      </c>
      <c r="P2" s="0" t="s">
        <v>21</v>
      </c>
      <c r="Q2" s="0" t="n">
        <v>0.05</v>
      </c>
    </row>
    <row r="3" customFormat="false" ht="15" hidden="false" customHeight="false" outlineLevel="0" collapsed="false">
      <c r="A3" s="0" t="n">
        <v>250</v>
      </c>
      <c r="B3" s="0" t="n">
        <v>250</v>
      </c>
      <c r="C3" s="0" t="n">
        <v>0.1</v>
      </c>
      <c r="D3" s="0" t="n">
        <v>5</v>
      </c>
      <c r="E3" s="0" t="n">
        <v>5</v>
      </c>
      <c r="F3" s="0" t="s">
        <v>17</v>
      </c>
      <c r="G3" s="0" t="s">
        <v>18</v>
      </c>
      <c r="H3" s="0" t="s">
        <v>19</v>
      </c>
      <c r="I3" s="1" t="b">
        <f aca="false">FALSE()</f>
        <v>0</v>
      </c>
      <c r="J3" s="1" t="b">
        <f aca="false">TRUE()</f>
        <v>1</v>
      </c>
      <c r="K3" s="0" t="n">
        <v>1052.2901732765</v>
      </c>
      <c r="L3" s="0" t="n">
        <v>698.523113320899</v>
      </c>
      <c r="M3" s="0" t="n">
        <v>1485.30990962249</v>
      </c>
      <c r="N3" s="0" t="n">
        <v>0.998882492573499</v>
      </c>
      <c r="O3" s="0" t="n">
        <v>0.998882891046727</v>
      </c>
      <c r="P3" s="0" t="s">
        <v>21</v>
      </c>
      <c r="Q3" s="0" t="n">
        <v>0.1</v>
      </c>
    </row>
    <row r="4" customFormat="false" ht="15" hidden="false" customHeight="false" outlineLevel="0" collapsed="false">
      <c r="A4" s="0" t="n">
        <v>250</v>
      </c>
      <c r="B4" s="0" t="n">
        <v>250</v>
      </c>
      <c r="C4" s="0" t="n">
        <v>0.5</v>
      </c>
      <c r="D4" s="0" t="n">
        <v>5</v>
      </c>
      <c r="E4" s="0" t="n">
        <v>5</v>
      </c>
      <c r="F4" s="0" t="s">
        <v>17</v>
      </c>
      <c r="G4" s="0" t="s">
        <v>18</v>
      </c>
      <c r="H4" s="0" t="s">
        <v>19</v>
      </c>
      <c r="I4" s="1" t="b">
        <f aca="false">FALSE()</f>
        <v>0</v>
      </c>
      <c r="J4" s="1" t="b">
        <f aca="false">TRUE()</f>
        <v>1</v>
      </c>
      <c r="K4" s="0" t="n">
        <v>0.00018723799887331</v>
      </c>
      <c r="L4" s="0" t="n">
        <v>0.000161878435263083</v>
      </c>
      <c r="M4" s="0" t="n">
        <v>0.000159330697619035</v>
      </c>
      <c r="N4" s="0" t="n">
        <v>0.000146425026875473</v>
      </c>
      <c r="O4" s="0" t="n">
        <v>0.00014724768870888</v>
      </c>
      <c r="P4" s="0" t="s">
        <v>21</v>
      </c>
      <c r="Q4" s="0" t="n">
        <v>0.5</v>
      </c>
    </row>
    <row r="5" customFormat="false" ht="15" hidden="false" customHeight="false" outlineLevel="0" collapsed="false">
      <c r="A5" s="0" t="n">
        <v>250</v>
      </c>
      <c r="B5" s="0" t="n">
        <v>250</v>
      </c>
      <c r="C5" s="0" t="n">
        <v>1</v>
      </c>
      <c r="D5" s="0" t="n">
        <v>5</v>
      </c>
      <c r="E5" s="0" t="n">
        <v>5</v>
      </c>
      <c r="F5" s="0" t="s">
        <v>17</v>
      </c>
      <c r="G5" s="0" t="s">
        <v>18</v>
      </c>
      <c r="H5" s="0" t="s">
        <v>19</v>
      </c>
      <c r="I5" s="1" t="b">
        <f aca="false">FALSE()</f>
        <v>0</v>
      </c>
      <c r="J5" s="1" t="b">
        <f aca="false">TRUE()</f>
        <v>1</v>
      </c>
      <c r="K5" s="0" t="n">
        <v>1.25018499930956E-005</v>
      </c>
      <c r="L5" s="0" t="n">
        <v>1.13567266797322E-005</v>
      </c>
      <c r="M5" s="0" t="n">
        <v>3.22882283548603E-005</v>
      </c>
      <c r="N5" s="0" t="n">
        <v>5.1063060332923E-005</v>
      </c>
      <c r="O5" s="0" t="n">
        <v>7.18999306853165E-005</v>
      </c>
      <c r="P5" s="0" t="s">
        <v>21</v>
      </c>
      <c r="Q5" s="0" t="n">
        <v>1</v>
      </c>
    </row>
    <row r="6" customFormat="false" ht="15" hidden="false" customHeight="false" outlineLevel="0" collapsed="false">
      <c r="A6" s="0" t="n">
        <v>250</v>
      </c>
      <c r="B6" s="0" t="n">
        <v>250</v>
      </c>
      <c r="C6" s="0" t="n">
        <v>2</v>
      </c>
      <c r="D6" s="0" t="n">
        <v>5</v>
      </c>
      <c r="E6" s="0" t="n">
        <v>5</v>
      </c>
      <c r="F6" s="0" t="s">
        <v>17</v>
      </c>
      <c r="G6" s="0" t="s">
        <v>18</v>
      </c>
      <c r="H6" s="0" t="s">
        <v>19</v>
      </c>
      <c r="I6" s="1" t="b">
        <f aca="false">FALSE()</f>
        <v>0</v>
      </c>
      <c r="J6" s="1" t="b">
        <f aca="false">TRUE()</f>
        <v>1</v>
      </c>
      <c r="K6" s="0" t="n">
        <v>2.86646847673009E-005</v>
      </c>
      <c r="L6" s="0" t="n">
        <v>2.44746463723733E-005</v>
      </c>
      <c r="M6" s="0" t="n">
        <v>2.88938097963987E-005</v>
      </c>
      <c r="N6" s="0" t="n">
        <v>3.45963693260931E-005</v>
      </c>
      <c r="O6" s="0" t="n">
        <v>4.35935980155311E-005</v>
      </c>
      <c r="P6" s="0" t="s">
        <v>21</v>
      </c>
      <c r="Q6" s="0" t="n">
        <v>2</v>
      </c>
    </row>
    <row r="7" customFormat="false" ht="15" hidden="false" customHeight="false" outlineLevel="0" collapsed="false">
      <c r="A7" s="0" t="n">
        <v>250</v>
      </c>
      <c r="B7" s="0" t="n">
        <v>250</v>
      </c>
      <c r="C7" s="0" t="n">
        <v>2.5</v>
      </c>
      <c r="D7" s="0" t="n">
        <v>5</v>
      </c>
      <c r="E7" s="0" t="n">
        <v>5</v>
      </c>
      <c r="F7" s="0" t="s">
        <v>17</v>
      </c>
      <c r="G7" s="0" t="s">
        <v>18</v>
      </c>
      <c r="H7" s="0" t="s">
        <v>19</v>
      </c>
      <c r="I7" s="1" t="b">
        <f aca="false">FALSE()</f>
        <v>0</v>
      </c>
      <c r="J7" s="1" t="b">
        <f aca="false">TRUE()</f>
        <v>1</v>
      </c>
      <c r="K7" s="0" t="n">
        <v>2.57054072689431E-005</v>
      </c>
      <c r="L7" s="0" t="n">
        <v>2.28791319847678E-005</v>
      </c>
      <c r="M7" s="0" t="n">
        <v>2.31034720757351E-005</v>
      </c>
      <c r="N7" s="0" t="n">
        <v>1.87616902935534E-005</v>
      </c>
      <c r="O7" s="0" t="n">
        <v>2.40910979187691E-005</v>
      </c>
      <c r="P7" s="0" t="s">
        <v>21</v>
      </c>
      <c r="Q7" s="0" t="n">
        <v>2.5</v>
      </c>
    </row>
    <row r="8" customFormat="false" ht="15" hidden="false" customHeight="false" outlineLevel="0" collapsed="false">
      <c r="A8" s="0" t="n">
        <v>250</v>
      </c>
      <c r="B8" s="0" t="n">
        <v>250</v>
      </c>
      <c r="C8" s="0" t="n">
        <v>3</v>
      </c>
      <c r="D8" s="0" t="n">
        <v>5</v>
      </c>
      <c r="E8" s="0" t="n">
        <v>5</v>
      </c>
      <c r="F8" s="0" t="s">
        <v>17</v>
      </c>
      <c r="G8" s="0" t="s">
        <v>18</v>
      </c>
      <c r="H8" s="0" t="s">
        <v>19</v>
      </c>
      <c r="I8" s="1" t="b">
        <f aca="false">FALSE()</f>
        <v>0</v>
      </c>
      <c r="J8" s="1" t="b">
        <f aca="false">TRUE()</f>
        <v>1</v>
      </c>
      <c r="K8" s="0" t="n">
        <v>1.47122533388558E-006</v>
      </c>
      <c r="L8" s="0" t="n">
        <v>1.25633023339165E-006</v>
      </c>
      <c r="M8" s="0" t="n">
        <v>3.4687036428206E-006</v>
      </c>
      <c r="N8" s="0" t="n">
        <v>5.52546129094432E-006</v>
      </c>
      <c r="O8" s="0" t="n">
        <v>7.69870756683833E-006</v>
      </c>
      <c r="P8" s="0" t="s">
        <v>21</v>
      </c>
      <c r="Q8" s="0" t="n">
        <v>3</v>
      </c>
    </row>
    <row r="9" customFormat="false" ht="15" hidden="false" customHeight="false" outlineLevel="0" collapsed="false">
      <c r="A9" s="0" t="n">
        <v>250</v>
      </c>
      <c r="B9" s="0" t="n">
        <v>250</v>
      </c>
      <c r="C9" s="0" t="n">
        <v>3.5</v>
      </c>
      <c r="D9" s="0" t="n">
        <v>5</v>
      </c>
      <c r="E9" s="0" t="n">
        <v>5</v>
      </c>
      <c r="F9" s="0" t="s">
        <v>17</v>
      </c>
      <c r="G9" s="0" t="s">
        <v>18</v>
      </c>
      <c r="H9" s="0" t="s">
        <v>19</v>
      </c>
      <c r="I9" s="1" t="b">
        <f aca="false">FALSE()</f>
        <v>0</v>
      </c>
      <c r="J9" s="1" t="b">
        <f aca="false">TRUE()</f>
        <v>1</v>
      </c>
      <c r="K9" s="0" t="n">
        <v>6.54133842698044E-005</v>
      </c>
      <c r="L9" s="0" t="n">
        <v>5.88579453409163E-005</v>
      </c>
      <c r="M9" s="0" t="n">
        <v>5.81289275006583E-005</v>
      </c>
      <c r="N9" s="0" t="n">
        <v>4.28605947478983E-005</v>
      </c>
      <c r="O9" s="0" t="n">
        <v>5.47130030026711E-005</v>
      </c>
      <c r="P9" s="0" t="s">
        <v>21</v>
      </c>
      <c r="Q9" s="0" t="n">
        <v>3.5</v>
      </c>
    </row>
    <row r="10" customFormat="false" ht="15" hidden="false" customHeight="false" outlineLevel="0" collapsed="false">
      <c r="A10" s="0" t="n">
        <v>250</v>
      </c>
      <c r="B10" s="0" t="n">
        <v>250</v>
      </c>
      <c r="C10" s="0" t="n">
        <v>4</v>
      </c>
      <c r="D10" s="0" t="n">
        <v>5</v>
      </c>
      <c r="E10" s="0" t="n">
        <v>5</v>
      </c>
      <c r="F10" s="0" t="s">
        <v>17</v>
      </c>
      <c r="G10" s="0" t="s">
        <v>18</v>
      </c>
      <c r="H10" s="0" t="s">
        <v>19</v>
      </c>
      <c r="I10" s="1" t="b">
        <f aca="false">FALSE()</f>
        <v>0</v>
      </c>
      <c r="J10" s="1" t="b">
        <f aca="false">TRUE()</f>
        <v>1</v>
      </c>
      <c r="K10" s="0" t="n">
        <v>0.000183755049067177</v>
      </c>
      <c r="L10" s="0" t="n">
        <v>0.000167713114057145</v>
      </c>
      <c r="M10" s="0" t="n">
        <v>0.000162317495392564</v>
      </c>
      <c r="N10" s="0" t="n">
        <v>0.000107889455390407</v>
      </c>
      <c r="O10" s="0" t="n">
        <v>0.000135263955203078</v>
      </c>
      <c r="P10" s="0" t="s">
        <v>21</v>
      </c>
      <c r="Q10" s="0" t="n">
        <v>4</v>
      </c>
    </row>
    <row r="11" customFormat="false" ht="15" hidden="false" customHeight="false" outlineLevel="0" collapsed="false">
      <c r="A11" s="0" t="n">
        <v>250</v>
      </c>
      <c r="B11" s="0" t="n">
        <v>250</v>
      </c>
      <c r="C11" s="0" t="n">
        <v>5</v>
      </c>
      <c r="D11" s="0" t="n">
        <v>5</v>
      </c>
      <c r="E11" s="0" t="n">
        <v>5</v>
      </c>
      <c r="F11" s="0" t="s">
        <v>17</v>
      </c>
      <c r="G11" s="0" t="s">
        <v>18</v>
      </c>
      <c r="H11" s="0" t="s">
        <v>19</v>
      </c>
      <c r="I11" s="1" t="b">
        <f aca="false">FALSE()</f>
        <v>0</v>
      </c>
      <c r="J11" s="1" t="b">
        <f aca="false">TRUE()</f>
        <v>1</v>
      </c>
      <c r="K11" s="0" t="n">
        <v>0.000660692148959465</v>
      </c>
      <c r="L11" s="0" t="n">
        <v>0.000611063371944657</v>
      </c>
      <c r="M11" s="0" t="n">
        <v>0.000585238703231376</v>
      </c>
      <c r="N11" s="0" t="n">
        <v>0.000349993463956789</v>
      </c>
      <c r="O11" s="0" t="n">
        <v>0.000450194059073019</v>
      </c>
      <c r="P11" s="0" t="s">
        <v>21</v>
      </c>
      <c r="Q11" s="0" t="n">
        <v>5</v>
      </c>
    </row>
    <row r="12" customFormat="false" ht="15" hidden="false" customHeight="false" outlineLevel="0" collapsed="false">
      <c r="A12" s="0" t="n">
        <v>250</v>
      </c>
      <c r="B12" s="0" t="n">
        <v>250</v>
      </c>
      <c r="C12" s="0" t="n">
        <v>7.5</v>
      </c>
      <c r="D12" s="0" t="n">
        <v>5</v>
      </c>
      <c r="E12" s="0" t="n">
        <v>5</v>
      </c>
      <c r="F12" s="0" t="s">
        <v>17</v>
      </c>
      <c r="G12" s="0" t="s">
        <v>18</v>
      </c>
      <c r="H12" s="0" t="s">
        <v>19</v>
      </c>
      <c r="I12" s="1" t="b">
        <f aca="false">FALSE()</f>
        <v>0</v>
      </c>
      <c r="J12" s="1" t="b">
        <f aca="false">TRUE()</f>
        <v>1</v>
      </c>
      <c r="K12" s="0" t="n">
        <v>0.00444399489885696</v>
      </c>
      <c r="L12" s="0" t="n">
        <v>0.00415959382708588</v>
      </c>
      <c r="M12" s="0" t="n">
        <v>0.00396966776123038</v>
      </c>
      <c r="N12" s="0" t="n">
        <v>0.00213699702325152</v>
      </c>
      <c r="O12" s="0" t="n">
        <v>0.00295104251388972</v>
      </c>
      <c r="P12" s="0" t="s">
        <v>21</v>
      </c>
      <c r="Q12" s="0" t="n">
        <v>7.5</v>
      </c>
    </row>
    <row r="13" customFormat="false" ht="15" hidden="false" customHeight="false" outlineLevel="0" collapsed="false">
      <c r="A13" s="0" t="n">
        <v>250</v>
      </c>
      <c r="B13" s="0" t="n">
        <v>250</v>
      </c>
      <c r="C13" s="0" t="n">
        <v>10</v>
      </c>
      <c r="D13" s="0" t="n">
        <v>5</v>
      </c>
      <c r="E13" s="0" t="n">
        <v>5</v>
      </c>
      <c r="F13" s="0" t="s">
        <v>17</v>
      </c>
      <c r="G13" s="0" t="s">
        <v>18</v>
      </c>
      <c r="H13" s="0" t="s">
        <v>19</v>
      </c>
      <c r="I13" s="1" t="b">
        <f aca="false">FALSE()</f>
        <v>0</v>
      </c>
      <c r="J13" s="1" t="b">
        <f aca="false">TRUE()</f>
        <v>1</v>
      </c>
      <c r="K13" s="0" t="n">
        <v>0.0154769115201677</v>
      </c>
      <c r="L13" s="0" t="n">
        <v>0.0144939298044702</v>
      </c>
      <c r="M13" s="0" t="n">
        <v>0.0138307419797604</v>
      </c>
      <c r="N13" s="0" t="n">
        <v>0.00734635706498538</v>
      </c>
      <c r="O13" s="0" t="n">
        <v>0.0101671515768422</v>
      </c>
      <c r="P13" s="0" t="s">
        <v>21</v>
      </c>
      <c r="Q13" s="0" t="n">
        <v>10</v>
      </c>
    </row>
    <row r="14" customFormat="false" ht="15" hidden="false" customHeight="false" outlineLevel="0" collapsed="false">
      <c r="A14" s="0" t="n">
        <v>250</v>
      </c>
      <c r="B14" s="0" t="n">
        <v>250</v>
      </c>
      <c r="C14" s="0" t="n">
        <v>15</v>
      </c>
      <c r="D14" s="0" t="n">
        <v>5</v>
      </c>
      <c r="E14" s="0" t="n">
        <v>5</v>
      </c>
      <c r="F14" s="0" t="s">
        <v>17</v>
      </c>
      <c r="G14" s="0" t="s">
        <v>18</v>
      </c>
      <c r="H14" s="0" t="s">
        <v>19</v>
      </c>
      <c r="I14" s="1" t="b">
        <f aca="false">FALSE()</f>
        <v>0</v>
      </c>
      <c r="J14" s="1" t="b">
        <f aca="false">TRUE()</f>
        <v>1</v>
      </c>
      <c r="K14" s="0" t="n">
        <v>0.0891553508128378</v>
      </c>
      <c r="L14" s="0" t="n">
        <v>0.083072615669079</v>
      </c>
      <c r="M14" s="0" t="n">
        <v>0.0792874853367673</v>
      </c>
      <c r="N14" s="0" t="n">
        <v>0.0413663373927451</v>
      </c>
      <c r="O14" s="0" t="n">
        <v>0.0546908242329349</v>
      </c>
      <c r="P14" s="0" t="s">
        <v>21</v>
      </c>
      <c r="Q14" s="0" t="n">
        <v>15</v>
      </c>
    </row>
    <row r="15" customFormat="false" ht="15" hidden="false" customHeight="false" outlineLevel="0" collapsed="false">
      <c r="A15" s="0" t="n">
        <v>250</v>
      </c>
      <c r="B15" s="0" t="n">
        <v>250</v>
      </c>
      <c r="C15" s="0" t="n">
        <v>20</v>
      </c>
      <c r="D15" s="0" t="n">
        <v>5</v>
      </c>
      <c r="E15" s="0" t="n">
        <v>5</v>
      </c>
      <c r="F15" s="0" t="s">
        <v>17</v>
      </c>
      <c r="G15" s="0" t="s">
        <v>18</v>
      </c>
      <c r="H15" s="0" t="s">
        <v>19</v>
      </c>
      <c r="I15" s="1" t="b">
        <f aca="false">FALSE()</f>
        <v>0</v>
      </c>
      <c r="J15" s="1" t="b">
        <f aca="false">TRUE()</f>
        <v>1</v>
      </c>
      <c r="K15" s="0" t="n">
        <v>0.352840305112979</v>
      </c>
      <c r="L15" s="0" t="n">
        <v>0.328701637689495</v>
      </c>
      <c r="M15" s="0" t="n">
        <v>0.313728487087188</v>
      </c>
      <c r="N15" s="0" t="n">
        <v>0.135438829283821</v>
      </c>
      <c r="O15" s="0" t="n">
        <v>0.176455478156484</v>
      </c>
      <c r="P15" s="0" t="s">
        <v>21</v>
      </c>
      <c r="Q15" s="0" t="n">
        <v>20</v>
      </c>
    </row>
    <row r="16" customFormat="false" ht="15" hidden="false" customHeight="false" outlineLevel="0" collapsed="false">
      <c r="A16" s="0" t="n">
        <v>250</v>
      </c>
      <c r="B16" s="0" t="n">
        <v>250</v>
      </c>
      <c r="C16" s="0" t="n">
        <v>30</v>
      </c>
      <c r="D16" s="0" t="n">
        <v>5</v>
      </c>
      <c r="E16" s="0" t="n">
        <v>5</v>
      </c>
      <c r="F16" s="0" t="s">
        <v>17</v>
      </c>
      <c r="G16" s="0" t="s">
        <v>18</v>
      </c>
      <c r="H16" s="0" t="s">
        <v>19</v>
      </c>
      <c r="I16" s="1" t="b">
        <f aca="false">FALSE()</f>
        <v>0</v>
      </c>
      <c r="J16" s="1" t="b">
        <f aca="false">TRUE()</f>
        <v>1</v>
      </c>
      <c r="K16" s="0" t="n">
        <v>4.93768174175555</v>
      </c>
      <c r="L16" s="0" t="n">
        <v>4.62629688289412</v>
      </c>
      <c r="M16" s="0" t="n">
        <v>4.41473751508486</v>
      </c>
      <c r="N16" s="0" t="n">
        <v>0.701871036755859</v>
      </c>
      <c r="O16" s="0" t="n">
        <v>0.905247835143511</v>
      </c>
      <c r="P16" s="0" t="s">
        <v>21</v>
      </c>
      <c r="Q16" s="0" t="n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</row>
    <row r="2" customFormat="false" ht="15" hidden="false" customHeight="false" outlineLevel="0" collapsed="false">
      <c r="A2" s="0" t="n">
        <v>250</v>
      </c>
      <c r="B2" s="0" t="n">
        <v>250</v>
      </c>
      <c r="C2" s="0" t="n">
        <v>4</v>
      </c>
      <c r="D2" s="0" t="n">
        <v>5</v>
      </c>
      <c r="E2" s="0" t="n">
        <v>5</v>
      </c>
      <c r="F2" s="0" t="s">
        <v>17</v>
      </c>
      <c r="G2" s="0" t="s">
        <v>18</v>
      </c>
      <c r="H2" s="0" t="s">
        <v>19</v>
      </c>
      <c r="I2" s="1" t="b">
        <f aca="false">FALSE()</f>
        <v>0</v>
      </c>
      <c r="J2" s="1" t="b">
        <f aca="false">TRUE()</f>
        <v>1</v>
      </c>
      <c r="K2" s="0" t="n">
        <v>0.000183755049067177</v>
      </c>
      <c r="L2" s="0" t="n">
        <v>0.000167713114057145</v>
      </c>
      <c r="M2" s="0" t="n">
        <v>0.000162317495392564</v>
      </c>
      <c r="N2" s="0" t="n">
        <v>0.000107889455390407</v>
      </c>
      <c r="O2" s="0" t="n">
        <v>0.000135263955203078</v>
      </c>
      <c r="P2" s="0" t="s">
        <v>3</v>
      </c>
      <c r="Q2" s="0" t="n">
        <v>5</v>
      </c>
    </row>
    <row r="3" customFormat="false" ht="15" hidden="false" customHeight="false" outlineLevel="0" collapsed="false">
      <c r="A3" s="0" t="n">
        <v>250</v>
      </c>
      <c r="B3" s="0" t="n">
        <v>250</v>
      </c>
      <c r="C3" s="0" t="n">
        <v>4</v>
      </c>
      <c r="D3" s="0" t="n">
        <v>7</v>
      </c>
      <c r="E3" s="0" t="n">
        <v>5</v>
      </c>
      <c r="F3" s="0" t="s">
        <v>17</v>
      </c>
      <c r="G3" s="0" t="s">
        <v>18</v>
      </c>
      <c r="H3" s="0" t="s">
        <v>19</v>
      </c>
      <c r="I3" s="1" t="b">
        <f aca="false">FALSE()</f>
        <v>0</v>
      </c>
      <c r="J3" s="1" t="b">
        <f aca="false">TRUE()</f>
        <v>1</v>
      </c>
      <c r="K3" s="0" t="n">
        <v>0.000183714290666877</v>
      </c>
      <c r="L3" s="0" t="n">
        <v>0.000167674474349595</v>
      </c>
      <c r="M3" s="0" t="n">
        <v>0.00016227973850776</v>
      </c>
      <c r="N3" s="0" t="n">
        <v>0.000107867459763692</v>
      </c>
      <c r="O3" s="0" t="n">
        <v>0.000135235590158523</v>
      </c>
      <c r="P3" s="0" t="s">
        <v>3</v>
      </c>
      <c r="Q3" s="0" t="n">
        <v>7</v>
      </c>
    </row>
    <row r="4" customFormat="false" ht="15" hidden="false" customHeight="false" outlineLevel="0" collapsed="false">
      <c r="A4" s="0" t="n">
        <v>250</v>
      </c>
      <c r="B4" s="0" t="n">
        <v>250</v>
      </c>
      <c r="C4" s="0" t="n">
        <v>4</v>
      </c>
      <c r="D4" s="0" t="n">
        <v>10</v>
      </c>
      <c r="E4" s="0" t="n">
        <v>5</v>
      </c>
      <c r="F4" s="0" t="s">
        <v>17</v>
      </c>
      <c r="G4" s="0" t="s">
        <v>18</v>
      </c>
      <c r="H4" s="0" t="s">
        <v>19</v>
      </c>
      <c r="I4" s="1" t="b">
        <f aca="false">FALSE()</f>
        <v>0</v>
      </c>
      <c r="J4" s="1" t="b">
        <f aca="false">TRUE()</f>
        <v>1</v>
      </c>
      <c r="K4" s="0" t="n">
        <v>0.00054918650970977</v>
      </c>
      <c r="L4" s="0" t="n">
        <v>0.000497472262095859</v>
      </c>
      <c r="M4" s="0" t="n">
        <v>0.00047735105683887</v>
      </c>
      <c r="N4" s="0" t="n">
        <v>0.000333059175843129</v>
      </c>
      <c r="O4" s="0" t="n">
        <v>0.00037277662806527</v>
      </c>
      <c r="P4" s="0" t="s">
        <v>3</v>
      </c>
      <c r="Q4" s="0" t="n">
        <v>10</v>
      </c>
    </row>
    <row r="5" customFormat="false" ht="15" hidden="false" customHeight="false" outlineLevel="0" collapsed="false">
      <c r="A5" s="0" t="n">
        <v>250</v>
      </c>
      <c r="B5" s="0" t="n">
        <v>250</v>
      </c>
      <c r="C5" s="0" t="n">
        <v>4</v>
      </c>
      <c r="D5" s="0" t="n">
        <v>15</v>
      </c>
      <c r="E5" s="0" t="n">
        <v>5</v>
      </c>
      <c r="F5" s="0" t="s">
        <v>17</v>
      </c>
      <c r="G5" s="0" t="s">
        <v>18</v>
      </c>
      <c r="H5" s="0" t="s">
        <v>19</v>
      </c>
      <c r="I5" s="1" t="b">
        <f aca="false">FALSE()</f>
        <v>0</v>
      </c>
      <c r="J5" s="1" t="b">
        <f aca="false">TRUE()</f>
        <v>1</v>
      </c>
      <c r="K5" s="0" t="n">
        <v>0.0164197584242404</v>
      </c>
      <c r="L5" s="0" t="n">
        <v>0.0060057385887189</v>
      </c>
      <c r="M5" s="0" t="n">
        <v>0.010744697527412</v>
      </c>
      <c r="N5" s="0" t="n">
        <v>0.000556316385029616</v>
      </c>
      <c r="O5" s="0" t="n">
        <v>0.000392365413666764</v>
      </c>
      <c r="P5" s="0" t="s">
        <v>3</v>
      </c>
      <c r="Q5" s="0" t="n">
        <v>15</v>
      </c>
    </row>
    <row r="6" customFormat="false" ht="15" hidden="false" customHeight="false" outlineLevel="0" collapsed="false">
      <c r="A6" s="0" t="n">
        <v>250</v>
      </c>
      <c r="B6" s="0" t="n">
        <v>250</v>
      </c>
      <c r="C6" s="0" t="n">
        <v>4</v>
      </c>
      <c r="D6" s="0" t="n">
        <v>20</v>
      </c>
      <c r="E6" s="0" t="n">
        <v>5</v>
      </c>
      <c r="F6" s="0" t="s">
        <v>17</v>
      </c>
      <c r="G6" s="0" t="s">
        <v>18</v>
      </c>
      <c r="H6" s="0" t="s">
        <v>19</v>
      </c>
      <c r="I6" s="1" t="b">
        <f aca="false">FALSE()</f>
        <v>0</v>
      </c>
      <c r="J6" s="1" t="b">
        <f aca="false">TRUE()</f>
        <v>1</v>
      </c>
      <c r="K6" s="0" t="n">
        <v>0.00288721291155336</v>
      </c>
      <c r="L6" s="0" t="n">
        <v>0.000962879725217712</v>
      </c>
      <c r="M6" s="0" t="n">
        <v>0.0026551403409213</v>
      </c>
      <c r="N6" s="0" t="n">
        <v>0.000275907440403324</v>
      </c>
      <c r="O6" s="0" t="n">
        <v>0.000337145581952136</v>
      </c>
      <c r="P6" s="0" t="s">
        <v>3</v>
      </c>
      <c r="Q6" s="0" t="n">
        <v>20</v>
      </c>
    </row>
    <row r="7" customFormat="false" ht="15" hidden="false" customHeight="false" outlineLevel="0" collapsed="false">
      <c r="A7" s="0" t="n">
        <v>250</v>
      </c>
      <c r="B7" s="0" t="n">
        <v>250</v>
      </c>
      <c r="C7" s="0" t="n">
        <v>4</v>
      </c>
      <c r="D7" s="0" t="n">
        <v>25</v>
      </c>
      <c r="E7" s="0" t="n">
        <v>5</v>
      </c>
      <c r="F7" s="0" t="s">
        <v>17</v>
      </c>
      <c r="G7" s="0" t="s">
        <v>18</v>
      </c>
      <c r="H7" s="0" t="s">
        <v>19</v>
      </c>
      <c r="I7" s="1" t="b">
        <f aca="false">FALSE()</f>
        <v>0</v>
      </c>
      <c r="J7" s="1" t="b">
        <f aca="false">TRUE()</f>
        <v>1</v>
      </c>
      <c r="K7" s="0" t="n">
        <v>0.000125468857509949</v>
      </c>
      <c r="L7" s="0" t="n">
        <v>0.000103230430760974</v>
      </c>
      <c r="M7" s="0" t="n">
        <v>0.000172833957396748</v>
      </c>
      <c r="N7" s="0" t="n">
        <v>0.000260062409535348</v>
      </c>
      <c r="O7" s="0" t="n">
        <v>0.000341582041283914</v>
      </c>
      <c r="P7" s="0" t="s">
        <v>3</v>
      </c>
      <c r="Q7" s="0" t="n">
        <v>25</v>
      </c>
    </row>
    <row r="8" customFormat="false" ht="15" hidden="false" customHeight="false" outlineLevel="0" collapsed="false">
      <c r="A8" s="0" t="n">
        <v>250</v>
      </c>
      <c r="B8" s="0" t="n">
        <v>250</v>
      </c>
      <c r="C8" s="0" t="n">
        <v>4</v>
      </c>
      <c r="D8" s="0" t="n">
        <v>40</v>
      </c>
      <c r="E8" s="0" t="n">
        <v>5</v>
      </c>
      <c r="F8" s="0" t="s">
        <v>17</v>
      </c>
      <c r="G8" s="0" t="s">
        <v>18</v>
      </c>
      <c r="H8" s="0" t="s">
        <v>19</v>
      </c>
      <c r="I8" s="1" t="b">
        <f aca="false">FALSE()</f>
        <v>0</v>
      </c>
      <c r="J8" s="1" t="b">
        <f aca="false">TRUE()</f>
        <v>1</v>
      </c>
      <c r="K8" s="0" t="n">
        <v>0.00105810078739274</v>
      </c>
      <c r="L8" s="0" t="n">
        <v>0.000296927801639909</v>
      </c>
      <c r="M8" s="0" t="n">
        <v>0.000460304024832796</v>
      </c>
      <c r="N8" s="0" t="n">
        <v>3.91775316823504E-005</v>
      </c>
      <c r="O8" s="0" t="n">
        <v>3.17957694583427E-005</v>
      </c>
      <c r="P8" s="0" t="s">
        <v>3</v>
      </c>
      <c r="Q8" s="0" t="n">
        <v>40</v>
      </c>
    </row>
    <row r="9" customFormat="false" ht="15" hidden="false" customHeight="false" outlineLevel="0" collapsed="false">
      <c r="A9" s="0" t="n">
        <v>250</v>
      </c>
      <c r="B9" s="0" t="n">
        <v>250</v>
      </c>
      <c r="C9" s="0" t="n">
        <v>4</v>
      </c>
      <c r="D9" s="0" t="n">
        <v>50</v>
      </c>
      <c r="E9" s="0" t="n">
        <v>5</v>
      </c>
      <c r="F9" s="0" t="s">
        <v>17</v>
      </c>
      <c r="G9" s="0" t="s">
        <v>18</v>
      </c>
      <c r="H9" s="0" t="s">
        <v>19</v>
      </c>
      <c r="I9" s="1" t="b">
        <f aca="false">FALSE()</f>
        <v>0</v>
      </c>
      <c r="J9" s="1" t="b">
        <f aca="false">TRUE()</f>
        <v>1</v>
      </c>
      <c r="K9" s="0" t="n">
        <v>0.000107585253087442</v>
      </c>
      <c r="L9" s="0" t="n">
        <v>3.84456380052661E-005</v>
      </c>
      <c r="M9" s="0" t="n">
        <v>6.8921945078561E-005</v>
      </c>
      <c r="N9" s="0" t="n">
        <v>0.000161699886665801</v>
      </c>
      <c r="O9" s="0" t="n">
        <v>2.59250489128654E-005</v>
      </c>
      <c r="P9" s="0" t="s">
        <v>3</v>
      </c>
      <c r="Q9" s="0" t="n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</row>
    <row r="2" customFormat="false" ht="15" hidden="false" customHeight="false" outlineLevel="0" collapsed="false">
      <c r="A2" s="0" t="n">
        <v>250</v>
      </c>
      <c r="B2" s="0" t="n">
        <v>250</v>
      </c>
      <c r="C2" s="0" t="n">
        <v>4</v>
      </c>
      <c r="D2" s="0" t="n">
        <v>5</v>
      </c>
      <c r="E2" s="0" t="n">
        <v>5</v>
      </c>
      <c r="F2" s="0" t="s">
        <v>17</v>
      </c>
      <c r="G2" s="0" t="s">
        <v>18</v>
      </c>
      <c r="H2" s="0" t="s">
        <v>19</v>
      </c>
      <c r="I2" s="1" t="b">
        <f aca="false">FALSE()</f>
        <v>0</v>
      </c>
      <c r="J2" s="1" t="b">
        <f aca="false">TRUE()</f>
        <v>1</v>
      </c>
      <c r="K2" s="0" t="n">
        <v>0.000183755049067177</v>
      </c>
      <c r="L2" s="0" t="n">
        <v>0.000167713114057145</v>
      </c>
      <c r="M2" s="0" t="n">
        <v>0.000162317495392564</v>
      </c>
      <c r="N2" s="0" t="n">
        <v>0.000107889455390407</v>
      </c>
      <c r="O2" s="0" t="n">
        <v>0.000135263955203078</v>
      </c>
      <c r="P2" s="0" t="s">
        <v>4</v>
      </c>
      <c r="Q2" s="0" t="n">
        <v>5</v>
      </c>
    </row>
    <row r="3" customFormat="false" ht="15" hidden="false" customHeight="false" outlineLevel="0" collapsed="false">
      <c r="A3" s="0" t="n">
        <v>250</v>
      </c>
      <c r="B3" s="0" t="n">
        <v>250</v>
      </c>
      <c r="C3" s="0" t="n">
        <v>4</v>
      </c>
      <c r="D3" s="0" t="n">
        <v>5</v>
      </c>
      <c r="E3" s="0" t="n">
        <v>6</v>
      </c>
      <c r="F3" s="0" t="s">
        <v>17</v>
      </c>
      <c r="G3" s="0" t="s">
        <v>18</v>
      </c>
      <c r="H3" s="0" t="s">
        <v>19</v>
      </c>
      <c r="I3" s="1" t="b">
        <f aca="false">FALSE()</f>
        <v>0</v>
      </c>
      <c r="J3" s="1" t="b">
        <f aca="false">TRUE()</f>
        <v>1</v>
      </c>
      <c r="K3" s="0" t="n">
        <v>0.000183761359453723</v>
      </c>
      <c r="L3" s="0" t="n">
        <v>0.000167718977482734</v>
      </c>
      <c r="M3" s="0" t="n">
        <v>0.000162322991371186</v>
      </c>
      <c r="N3" s="0" t="n">
        <v>0.000107892417576515</v>
      </c>
      <c r="O3" s="0" t="n">
        <v>0.000135267499133439</v>
      </c>
      <c r="P3" s="0" t="s">
        <v>4</v>
      </c>
      <c r="Q3" s="0" t="n">
        <v>6</v>
      </c>
    </row>
    <row r="4" customFormat="false" ht="15" hidden="false" customHeight="false" outlineLevel="0" collapsed="false">
      <c r="A4" s="0" t="n">
        <v>250</v>
      </c>
      <c r="B4" s="0" t="n">
        <v>250</v>
      </c>
      <c r="C4" s="0" t="n">
        <v>4</v>
      </c>
      <c r="D4" s="0" t="n">
        <v>5</v>
      </c>
      <c r="E4" s="0" t="n">
        <v>7</v>
      </c>
      <c r="F4" s="0" t="s">
        <v>17</v>
      </c>
      <c r="G4" s="0" t="s">
        <v>18</v>
      </c>
      <c r="H4" s="0" t="s">
        <v>19</v>
      </c>
      <c r="I4" s="1" t="b">
        <f aca="false">FALSE()</f>
        <v>0</v>
      </c>
      <c r="J4" s="1" t="b">
        <f aca="false">TRUE()</f>
        <v>1</v>
      </c>
      <c r="K4" s="0" t="n">
        <v>0.000183761579436905</v>
      </c>
      <c r="L4" s="0" t="n">
        <v>0.00016771924096009</v>
      </c>
      <c r="M4" s="0" t="n">
        <v>0.000162323243995063</v>
      </c>
      <c r="N4" s="0" t="n">
        <v>0.000107892322563007</v>
      </c>
      <c r="O4" s="0" t="n">
        <v>0.000135267695860056</v>
      </c>
      <c r="P4" s="0" t="s">
        <v>4</v>
      </c>
      <c r="Q4" s="0" t="n">
        <v>7</v>
      </c>
    </row>
    <row r="5" customFormat="false" ht="15" hidden="false" customHeight="false" outlineLevel="0" collapsed="false">
      <c r="A5" s="0" t="n">
        <v>250</v>
      </c>
      <c r="B5" s="0" t="n">
        <v>250</v>
      </c>
      <c r="C5" s="0" t="n">
        <v>4</v>
      </c>
      <c r="D5" s="0" t="n">
        <v>5</v>
      </c>
      <c r="E5" s="0" t="n">
        <v>8</v>
      </c>
      <c r="F5" s="0" t="s">
        <v>17</v>
      </c>
      <c r="G5" s="0" t="s">
        <v>18</v>
      </c>
      <c r="H5" s="0" t="s">
        <v>19</v>
      </c>
      <c r="I5" s="1" t="b">
        <f aca="false">FALSE()</f>
        <v>0</v>
      </c>
      <c r="J5" s="1" t="b">
        <f aca="false">TRUE()</f>
        <v>1</v>
      </c>
      <c r="K5" s="0" t="n">
        <v>0.000183761507635036</v>
      </c>
      <c r="L5" s="0" t="n">
        <v>0.000167719106943677</v>
      </c>
      <c r="M5" s="0" t="n">
        <v>0.00016232313795483</v>
      </c>
      <c r="N5" s="0" t="n">
        <v>0.000107892394288606</v>
      </c>
      <c r="O5" s="0" t="n">
        <v>0.000135267744559076</v>
      </c>
      <c r="P5" s="0" t="s">
        <v>4</v>
      </c>
      <c r="Q5" s="0" t="n">
        <v>8</v>
      </c>
    </row>
    <row r="6" customFormat="false" ht="15" hidden="false" customHeight="false" outlineLevel="0" collapsed="false">
      <c r="A6" s="0" t="n">
        <v>250</v>
      </c>
      <c r="B6" s="0" t="n">
        <v>250</v>
      </c>
      <c r="C6" s="0" t="n">
        <v>4</v>
      </c>
      <c r="D6" s="0" t="n">
        <v>5</v>
      </c>
      <c r="E6" s="0" t="n">
        <v>9</v>
      </c>
      <c r="F6" s="0" t="s">
        <v>17</v>
      </c>
      <c r="G6" s="0" t="s">
        <v>18</v>
      </c>
      <c r="H6" s="0" t="s">
        <v>19</v>
      </c>
      <c r="I6" s="1" t="b">
        <f aca="false">FALSE()</f>
        <v>0</v>
      </c>
      <c r="J6" s="1" t="b">
        <f aca="false">TRUE()</f>
        <v>1</v>
      </c>
      <c r="K6" s="0" t="n">
        <v>0.000183764903953451</v>
      </c>
      <c r="L6" s="0" t="n">
        <v>0.000167722302639073</v>
      </c>
      <c r="M6" s="0" t="n">
        <v>0.000162326135992947</v>
      </c>
      <c r="N6" s="0" t="n">
        <v>0.000107894023490809</v>
      </c>
      <c r="O6" s="0" t="n">
        <v>0.000135269693359357</v>
      </c>
      <c r="P6" s="0" t="s">
        <v>4</v>
      </c>
      <c r="Q6" s="0" t="n">
        <v>9</v>
      </c>
    </row>
    <row r="7" customFormat="false" ht="15" hidden="false" customHeight="false" outlineLevel="0" collapsed="false">
      <c r="A7" s="0" t="n">
        <v>250</v>
      </c>
      <c r="B7" s="0" t="n">
        <v>250</v>
      </c>
      <c r="C7" s="0" t="n">
        <v>4</v>
      </c>
      <c r="D7" s="0" t="n">
        <v>5</v>
      </c>
      <c r="E7" s="0" t="n">
        <v>10</v>
      </c>
      <c r="F7" s="0" t="s">
        <v>17</v>
      </c>
      <c r="G7" s="0" t="s">
        <v>18</v>
      </c>
      <c r="H7" s="0" t="s">
        <v>19</v>
      </c>
      <c r="I7" s="1" t="b">
        <f aca="false">FALSE()</f>
        <v>0</v>
      </c>
      <c r="J7" s="1" t="b">
        <f aca="false">TRUE()</f>
        <v>1</v>
      </c>
      <c r="K7" s="0" t="n">
        <v>0.000183767289329951</v>
      </c>
      <c r="L7" s="0" t="n">
        <v>0.000167724478105617</v>
      </c>
      <c r="M7" s="0" t="n">
        <v>0.000162328178364312</v>
      </c>
      <c r="N7" s="0" t="n">
        <v>0.000107895018338408</v>
      </c>
      <c r="O7" s="0" t="n">
        <v>0.00013527102967019</v>
      </c>
      <c r="P7" s="0" t="s">
        <v>4</v>
      </c>
      <c r="Q7" s="0" t="n">
        <v>10</v>
      </c>
    </row>
    <row r="8" customFormat="false" ht="15" hidden="false" customHeight="false" outlineLevel="0" collapsed="false">
      <c r="A8" s="0" t="n">
        <v>250</v>
      </c>
      <c r="B8" s="0" t="n">
        <v>250</v>
      </c>
      <c r="C8" s="0" t="n">
        <v>4</v>
      </c>
      <c r="D8" s="0" t="n">
        <v>5</v>
      </c>
      <c r="E8" s="0" t="n">
        <v>11</v>
      </c>
      <c r="F8" s="0" t="s">
        <v>17</v>
      </c>
      <c r="G8" s="0" t="s">
        <v>18</v>
      </c>
      <c r="H8" s="0" t="s">
        <v>19</v>
      </c>
      <c r="I8" s="1" t="b">
        <f aca="false">FALSE()</f>
        <v>0</v>
      </c>
      <c r="J8" s="1" t="b">
        <f aca="false">TRUE()</f>
        <v>1</v>
      </c>
      <c r="K8" s="0" t="n">
        <v>0.000183758578587218</v>
      </c>
      <c r="L8" s="0" t="n">
        <v>0.000167716255115161</v>
      </c>
      <c r="M8" s="0" t="n">
        <v>0.000162320489675975</v>
      </c>
      <c r="N8" s="0" t="n">
        <v>0.000107891184263927</v>
      </c>
      <c r="O8" s="0" t="n">
        <v>0.000135266185374877</v>
      </c>
      <c r="P8" s="0" t="s">
        <v>4</v>
      </c>
      <c r="Q8" s="0" t="n">
        <v>11</v>
      </c>
    </row>
    <row r="9" customFormat="false" ht="15" hidden="false" customHeight="false" outlineLevel="0" collapsed="false">
      <c r="A9" s="0" t="n">
        <v>250</v>
      </c>
      <c r="B9" s="0" t="n">
        <v>250</v>
      </c>
      <c r="C9" s="0" t="n">
        <v>4</v>
      </c>
      <c r="D9" s="0" t="n">
        <v>5</v>
      </c>
      <c r="E9" s="0" t="n">
        <v>12</v>
      </c>
      <c r="F9" s="0" t="s">
        <v>17</v>
      </c>
      <c r="G9" s="0" t="s">
        <v>18</v>
      </c>
      <c r="H9" s="0" t="s">
        <v>19</v>
      </c>
      <c r="I9" s="1" t="b">
        <f aca="false">FALSE()</f>
        <v>0</v>
      </c>
      <c r="J9" s="1" t="b">
        <f aca="false">TRUE()</f>
        <v>1</v>
      </c>
      <c r="K9" s="0" t="n">
        <v>0.000183765239923426</v>
      </c>
      <c r="L9" s="0" t="n">
        <v>0.000167722668643287</v>
      </c>
      <c r="M9" s="0" t="n">
        <v>0.000162326492555307</v>
      </c>
      <c r="N9" s="0" t="n">
        <v>0.000107894184175418</v>
      </c>
      <c r="O9" s="0" t="n">
        <v>0.000135270003976</v>
      </c>
      <c r="P9" s="0" t="s">
        <v>4</v>
      </c>
      <c r="Q9" s="0" t="n">
        <v>12</v>
      </c>
    </row>
    <row r="10" customFormat="false" ht="15" hidden="false" customHeight="false" outlineLevel="0" collapsed="false">
      <c r="A10" s="0" t="n">
        <v>250</v>
      </c>
      <c r="B10" s="0" t="n">
        <v>250</v>
      </c>
      <c r="C10" s="0" t="n">
        <v>4</v>
      </c>
      <c r="D10" s="0" t="n">
        <v>5</v>
      </c>
      <c r="E10" s="0" t="n">
        <v>13</v>
      </c>
      <c r="F10" s="0" t="s">
        <v>17</v>
      </c>
      <c r="G10" s="0" t="s">
        <v>18</v>
      </c>
      <c r="H10" s="0" t="s">
        <v>19</v>
      </c>
      <c r="I10" s="1" t="b">
        <f aca="false">FALSE()</f>
        <v>0</v>
      </c>
      <c r="J10" s="1" t="b">
        <f aca="false">TRUE()</f>
        <v>1</v>
      </c>
      <c r="K10" s="0" t="n">
        <v>0.000183764983588894</v>
      </c>
      <c r="L10" s="0" t="n">
        <v>0.00016772233186105</v>
      </c>
      <c r="M10" s="0" t="n">
        <v>0.000162326179448702</v>
      </c>
      <c r="N10" s="0" t="n">
        <v>0.000107894037929421</v>
      </c>
      <c r="O10" s="0" t="n">
        <v>0.000135269817441623</v>
      </c>
      <c r="P10" s="0" t="s">
        <v>4</v>
      </c>
      <c r="Q10" s="0" t="n">
        <v>13</v>
      </c>
    </row>
    <row r="11" customFormat="false" ht="15" hidden="false" customHeight="false" outlineLevel="0" collapsed="false">
      <c r="A11" s="0" t="n">
        <v>250</v>
      </c>
      <c r="B11" s="0" t="n">
        <v>250</v>
      </c>
      <c r="C11" s="0" t="n">
        <v>4</v>
      </c>
      <c r="D11" s="0" t="n">
        <v>5</v>
      </c>
      <c r="E11" s="0" t="n">
        <v>14</v>
      </c>
      <c r="F11" s="0" t="s">
        <v>17</v>
      </c>
      <c r="G11" s="0" t="s">
        <v>18</v>
      </c>
      <c r="H11" s="0" t="s">
        <v>19</v>
      </c>
      <c r="I11" s="1" t="b">
        <f aca="false">FALSE()</f>
        <v>0</v>
      </c>
      <c r="J11" s="1" t="b">
        <f aca="false">TRUE()</f>
        <v>1</v>
      </c>
      <c r="K11" s="0" t="n">
        <v>0.000183764579371227</v>
      </c>
      <c r="L11" s="0" t="n">
        <v>0.000167721839084647</v>
      </c>
      <c r="M11" s="0" t="n">
        <v>0.000162325723307873</v>
      </c>
      <c r="N11" s="0" t="n">
        <v>0.000107893774313228</v>
      </c>
      <c r="O11" s="0" t="n">
        <v>0.000135269557725068</v>
      </c>
      <c r="P11" s="0" t="s">
        <v>4</v>
      </c>
      <c r="Q11" s="0" t="n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</row>
    <row r="2" customFormat="false" ht="15" hidden="false" customHeight="false" outlineLevel="0" collapsed="false">
      <c r="A2" s="0" t="n">
        <v>250</v>
      </c>
      <c r="B2" s="0" t="n">
        <v>250</v>
      </c>
      <c r="C2" s="0" t="n">
        <v>4</v>
      </c>
      <c r="D2" s="0" t="n">
        <v>5</v>
      </c>
      <c r="E2" s="0" t="n">
        <v>5</v>
      </c>
      <c r="F2" s="0" t="s">
        <v>17</v>
      </c>
      <c r="G2" s="0" t="s">
        <v>22</v>
      </c>
      <c r="H2" s="0" t="s">
        <v>19</v>
      </c>
      <c r="I2" s="1" t="b">
        <f aca="false">FALSE()</f>
        <v>0</v>
      </c>
      <c r="J2" s="1" t="b">
        <f aca="false">TRUE()</f>
        <v>1</v>
      </c>
      <c r="K2" s="0" t="n">
        <v>6.28077160541107E-005</v>
      </c>
      <c r="L2" s="0" t="n">
        <v>4.93008618944601E-005</v>
      </c>
      <c r="M2" s="0" t="n">
        <v>5.61481960043733E-005</v>
      </c>
      <c r="N2" s="0" t="n">
        <v>5.61621950741524E-005</v>
      </c>
      <c r="O2" s="0" t="n">
        <v>7.04150089176861E-005</v>
      </c>
      <c r="P2" s="0" t="s">
        <v>23</v>
      </c>
      <c r="Q2" s="0" t="s">
        <v>22</v>
      </c>
    </row>
    <row r="3" customFormat="false" ht="15" hidden="false" customHeight="false" outlineLevel="0" collapsed="false">
      <c r="A3" s="0" t="n">
        <v>250</v>
      </c>
      <c r="B3" s="0" t="n">
        <v>250</v>
      </c>
      <c r="C3" s="0" t="n">
        <v>4</v>
      </c>
      <c r="D3" s="0" t="n">
        <v>5</v>
      </c>
      <c r="E3" s="0" t="n">
        <v>5</v>
      </c>
      <c r="F3" s="0" t="s">
        <v>17</v>
      </c>
      <c r="G3" s="0" t="s">
        <v>24</v>
      </c>
      <c r="H3" s="0" t="s">
        <v>19</v>
      </c>
      <c r="I3" s="1" t="b">
        <f aca="false">FALSE()</f>
        <v>0</v>
      </c>
      <c r="J3" s="1" t="b">
        <f aca="false">TRUE()</f>
        <v>1</v>
      </c>
      <c r="K3" s="0" t="n">
        <v>3.13849096415789E-005</v>
      </c>
      <c r="L3" s="0" t="n">
        <v>2.48875231072375E-005</v>
      </c>
      <c r="M3" s="0" t="n">
        <v>4.1135553605163E-005</v>
      </c>
      <c r="N3" s="0" t="n">
        <v>4.3192805147138E-005</v>
      </c>
      <c r="O3" s="0" t="n">
        <v>6.01570118256247E-005</v>
      </c>
      <c r="P3" s="0" t="s">
        <v>23</v>
      </c>
      <c r="Q3" s="0" t="s">
        <v>24</v>
      </c>
    </row>
    <row r="4" customFormat="false" ht="15" hidden="false" customHeight="false" outlineLevel="0" collapsed="false">
      <c r="A4" s="0" t="n">
        <v>250</v>
      </c>
      <c r="B4" s="0" t="n">
        <v>250</v>
      </c>
      <c r="C4" s="0" t="n">
        <v>4</v>
      </c>
      <c r="D4" s="0" t="n">
        <v>5</v>
      </c>
      <c r="E4" s="0" t="n">
        <v>5</v>
      </c>
      <c r="F4" s="0" t="s">
        <v>17</v>
      </c>
      <c r="G4" s="0" t="s">
        <v>25</v>
      </c>
      <c r="H4" s="0" t="s">
        <v>19</v>
      </c>
      <c r="I4" s="1" t="b">
        <f aca="false">FALSE()</f>
        <v>0</v>
      </c>
      <c r="J4" s="1" t="b">
        <f aca="false">TRUE()</f>
        <v>1</v>
      </c>
      <c r="K4" s="0" t="n">
        <v>0.000114774536623571</v>
      </c>
      <c r="L4" s="0" t="n">
        <v>6.45653244874035E-005</v>
      </c>
      <c r="M4" s="0" t="n">
        <v>6.45653244873104E-005</v>
      </c>
      <c r="N4" s="0" t="n">
        <v>6.45694946794485E-005</v>
      </c>
      <c r="O4" s="0" t="n">
        <v>6.45694934409244E-005</v>
      </c>
      <c r="P4" s="0" t="s">
        <v>23</v>
      </c>
      <c r="Q4" s="0" t="s">
        <v>25</v>
      </c>
    </row>
    <row r="5" customFormat="false" ht="15" hidden="false" customHeight="false" outlineLevel="0" collapsed="false">
      <c r="A5" s="0" t="n">
        <v>250</v>
      </c>
      <c r="B5" s="0" t="n">
        <v>250</v>
      </c>
      <c r="C5" s="0" t="n">
        <v>4</v>
      </c>
      <c r="D5" s="0" t="n">
        <v>5</v>
      </c>
      <c r="E5" s="0" t="n">
        <v>5</v>
      </c>
      <c r="F5" s="0" t="s">
        <v>17</v>
      </c>
      <c r="G5" s="0" t="s">
        <v>26</v>
      </c>
      <c r="H5" s="0" t="s">
        <v>19</v>
      </c>
      <c r="I5" s="1" t="b">
        <f aca="false">FALSE()</f>
        <v>0</v>
      </c>
      <c r="J5" s="1" t="b">
        <f aca="false">TRUE()</f>
        <v>1</v>
      </c>
      <c r="K5" s="0" t="n">
        <v>9.51779191315052E-005</v>
      </c>
      <c r="L5" s="0" t="n">
        <v>5.36889879688982E-005</v>
      </c>
      <c r="M5" s="0" t="n">
        <v>5.7892947962809E-005</v>
      </c>
      <c r="N5" s="0" t="n">
        <v>6.00656303943597E-005</v>
      </c>
      <c r="O5" s="0" t="n">
        <v>6.23950813632476E-005</v>
      </c>
      <c r="P5" s="0" t="s">
        <v>23</v>
      </c>
      <c r="Q5" s="0" t="s">
        <v>26</v>
      </c>
    </row>
    <row r="6" customFormat="false" ht="15" hidden="false" customHeight="false" outlineLevel="0" collapsed="false">
      <c r="A6" s="0" t="n">
        <v>250</v>
      </c>
      <c r="B6" s="0" t="n">
        <v>250</v>
      </c>
      <c r="C6" s="0" t="n">
        <v>4</v>
      </c>
      <c r="D6" s="0" t="n">
        <v>5</v>
      </c>
      <c r="E6" s="0" t="n">
        <v>5</v>
      </c>
      <c r="F6" s="0" t="s">
        <v>17</v>
      </c>
      <c r="G6" s="0" t="s">
        <v>27</v>
      </c>
      <c r="H6" s="0" t="s">
        <v>19</v>
      </c>
      <c r="I6" s="1" t="b">
        <f aca="false">FALSE()</f>
        <v>0</v>
      </c>
      <c r="J6" s="1" t="b">
        <f aca="false">TRUE()</f>
        <v>1</v>
      </c>
      <c r="K6" s="0" t="n">
        <v>6.28064592607681E-005</v>
      </c>
      <c r="L6" s="0" t="n">
        <v>4.929981906603E-005</v>
      </c>
      <c r="M6" s="0" t="n">
        <v>5.61474639775167E-005</v>
      </c>
      <c r="N6" s="0" t="n">
        <v>5.61620808556321E-005</v>
      </c>
      <c r="O6" s="0" t="n">
        <v>7.04148029176214E-005</v>
      </c>
      <c r="P6" s="0" t="s">
        <v>23</v>
      </c>
      <c r="Q6" s="0" t="s">
        <v>27</v>
      </c>
    </row>
    <row r="7" customFormat="false" ht="15" hidden="false" customHeight="false" outlineLevel="0" collapsed="false">
      <c r="A7" s="0" t="n">
        <v>250</v>
      </c>
      <c r="B7" s="0" t="n">
        <v>250</v>
      </c>
      <c r="C7" s="0" t="n">
        <v>4</v>
      </c>
      <c r="D7" s="0" t="n">
        <v>5</v>
      </c>
      <c r="E7" s="0" t="n">
        <v>5</v>
      </c>
      <c r="F7" s="0" t="s">
        <v>17</v>
      </c>
      <c r="G7" s="0" t="s">
        <v>28</v>
      </c>
      <c r="H7" s="0" t="s">
        <v>19</v>
      </c>
      <c r="I7" s="1" t="b">
        <f aca="false">FALSE()</f>
        <v>0</v>
      </c>
      <c r="J7" s="1" t="b">
        <f aca="false">TRUE()</f>
        <v>1</v>
      </c>
      <c r="K7" s="0" t="n">
        <v>0.000105188936235153</v>
      </c>
      <c r="L7" s="0" t="n">
        <v>8.96117741105246E-005</v>
      </c>
      <c r="M7" s="0" t="n">
        <v>8.95716345446054E-005</v>
      </c>
      <c r="N7" s="0" t="n">
        <v>6.88933441165821E-005</v>
      </c>
      <c r="O7" s="0" t="n">
        <v>8.94429693047059E-005</v>
      </c>
      <c r="P7" s="0" t="s">
        <v>23</v>
      </c>
      <c r="Q7" s="0" t="s">
        <v>28</v>
      </c>
    </row>
    <row r="8" customFormat="false" ht="15" hidden="false" customHeight="false" outlineLevel="0" collapsed="false">
      <c r="A8" s="0" t="n">
        <v>250</v>
      </c>
      <c r="B8" s="0" t="n">
        <v>250</v>
      </c>
      <c r="C8" s="0" t="n">
        <v>4</v>
      </c>
      <c r="D8" s="0" t="n">
        <v>5</v>
      </c>
      <c r="E8" s="0" t="n">
        <v>5</v>
      </c>
      <c r="F8" s="0" t="s">
        <v>17</v>
      </c>
      <c r="G8" s="0" t="s">
        <v>29</v>
      </c>
      <c r="H8" s="0" t="s">
        <v>19</v>
      </c>
      <c r="I8" s="1" t="b">
        <f aca="false">FALSE()</f>
        <v>0</v>
      </c>
      <c r="J8" s="1" t="b">
        <f aca="false">TRUE()</f>
        <v>1</v>
      </c>
      <c r="K8" s="0" t="n">
        <v>0.000164529455202035</v>
      </c>
      <c r="L8" s="0" t="n">
        <v>0.000148511048963447</v>
      </c>
      <c r="M8" s="0" t="n">
        <v>0.000144011571261</v>
      </c>
      <c r="N8" s="0" t="n">
        <v>9.83054512670885E-005</v>
      </c>
      <c r="O8" s="0" t="n">
        <v>0.000123347370715735</v>
      </c>
      <c r="P8" s="0" t="s">
        <v>23</v>
      </c>
      <c r="Q8" s="0" t="s">
        <v>29</v>
      </c>
    </row>
    <row r="9" customFormat="false" ht="15" hidden="false" customHeight="false" outlineLevel="0" collapsed="false">
      <c r="A9" s="0" t="n">
        <v>250</v>
      </c>
      <c r="B9" s="0" t="n">
        <v>250</v>
      </c>
      <c r="C9" s="0" t="n">
        <v>4</v>
      </c>
      <c r="D9" s="0" t="n">
        <v>5</v>
      </c>
      <c r="E9" s="0" t="n">
        <v>5</v>
      </c>
      <c r="F9" s="0" t="s">
        <v>17</v>
      </c>
      <c r="G9" s="0" t="s">
        <v>30</v>
      </c>
      <c r="H9" s="0" t="s">
        <v>19</v>
      </c>
      <c r="I9" s="1" t="b">
        <f aca="false">FALSE()</f>
        <v>0</v>
      </c>
      <c r="J9" s="1" t="b">
        <f aca="false">TRUE()</f>
        <v>1</v>
      </c>
      <c r="K9" s="0" t="n">
        <v>0.000174841650551656</v>
      </c>
      <c r="L9" s="0" t="n">
        <v>0.000158806788285952</v>
      </c>
      <c r="M9" s="0" t="n">
        <v>0.000153805316251711</v>
      </c>
      <c r="N9" s="0" t="n">
        <v>0.00010344781610347</v>
      </c>
      <c r="O9" s="0" t="n">
        <v>0.000129699694723824</v>
      </c>
      <c r="P9" s="0" t="s">
        <v>23</v>
      </c>
      <c r="Q9" s="0" t="s">
        <v>30</v>
      </c>
    </row>
    <row r="10" customFormat="false" ht="15" hidden="false" customHeight="false" outlineLevel="0" collapsed="false">
      <c r="A10" s="0" t="n">
        <v>250</v>
      </c>
      <c r="B10" s="0" t="n">
        <v>250</v>
      </c>
      <c r="C10" s="0" t="n">
        <v>4</v>
      </c>
      <c r="D10" s="0" t="n">
        <v>5</v>
      </c>
      <c r="E10" s="0" t="n">
        <v>5</v>
      </c>
      <c r="F10" s="0" t="s">
        <v>17</v>
      </c>
      <c r="G10" s="0" t="s">
        <v>31</v>
      </c>
      <c r="H10" s="0" t="s">
        <v>19</v>
      </c>
      <c r="I10" s="1" t="b">
        <f aca="false">FALSE()</f>
        <v>0</v>
      </c>
      <c r="J10" s="1" t="b">
        <f aca="false">TRUE()</f>
        <v>1</v>
      </c>
      <c r="K10" s="0" t="n">
        <v>0.000183755049067177</v>
      </c>
      <c r="L10" s="0" t="n">
        <v>0.000167713114057145</v>
      </c>
      <c r="M10" s="0" t="n">
        <v>0.000162317495392564</v>
      </c>
      <c r="N10" s="0" t="n">
        <v>0.000107889455390407</v>
      </c>
      <c r="O10" s="0" t="n">
        <v>0.000135263955203078</v>
      </c>
      <c r="P10" s="0" t="s">
        <v>23</v>
      </c>
      <c r="Q10" s="0" t="s">
        <v>31</v>
      </c>
    </row>
    <row r="11" customFormat="false" ht="15" hidden="false" customHeight="false" outlineLevel="0" collapsed="false">
      <c r="A11" s="0" t="n">
        <v>250</v>
      </c>
      <c r="B11" s="0" t="n">
        <v>250</v>
      </c>
      <c r="C11" s="0" t="n">
        <v>4</v>
      </c>
      <c r="D11" s="0" t="n">
        <v>5</v>
      </c>
      <c r="E11" s="0" t="n">
        <v>5</v>
      </c>
      <c r="F11" s="0" t="s">
        <v>17</v>
      </c>
      <c r="G11" s="0" t="s">
        <v>32</v>
      </c>
      <c r="H11" s="0" t="s">
        <v>19</v>
      </c>
      <c r="I11" s="1" t="b">
        <f aca="false">FALSE()</f>
        <v>0</v>
      </c>
      <c r="J11" s="1" t="b">
        <f aca="false">TRUE()</f>
        <v>1</v>
      </c>
      <c r="K11" s="0" t="n">
        <v>0.000184914237558766</v>
      </c>
      <c r="L11" s="0" t="n">
        <v>0.000168871781535175</v>
      </c>
      <c r="M11" s="0" t="n">
        <v>0.00016342734348623</v>
      </c>
      <c r="N11" s="0" t="n">
        <v>0.000108466889736022</v>
      </c>
      <c r="O11" s="0" t="n">
        <v>0.000135992144926347</v>
      </c>
      <c r="P11" s="0" t="s">
        <v>23</v>
      </c>
      <c r="Q11" s="0" t="s">
        <v>32</v>
      </c>
    </row>
    <row r="12" customFormat="false" ht="15" hidden="false" customHeight="false" outlineLevel="0" collapsed="false">
      <c r="A12" s="0" t="n">
        <v>250</v>
      </c>
      <c r="B12" s="0" t="n">
        <v>250</v>
      </c>
      <c r="C12" s="0" t="n">
        <v>4</v>
      </c>
      <c r="D12" s="0" t="n">
        <v>5</v>
      </c>
      <c r="E12" s="0" t="n">
        <v>5</v>
      </c>
      <c r="F12" s="0" t="s">
        <v>17</v>
      </c>
      <c r="G12" s="0" t="s">
        <v>33</v>
      </c>
      <c r="H12" s="0" t="s">
        <v>19</v>
      </c>
      <c r="I12" s="1" t="b">
        <f aca="false">FALSE()</f>
        <v>0</v>
      </c>
      <c r="J12" s="1" t="b">
        <f aca="false">TRUE()</f>
        <v>1</v>
      </c>
      <c r="K12" s="0" t="n">
        <v>0.000185849129957042</v>
      </c>
      <c r="L12" s="0" t="n">
        <v>0.00016980629024978</v>
      </c>
      <c r="M12" s="0" t="n">
        <v>0.000164322867282643</v>
      </c>
      <c r="N12" s="0" t="n">
        <v>0.000108932550005048</v>
      </c>
      <c r="O12" s="0" t="n">
        <v>0.000136580145669238</v>
      </c>
      <c r="P12" s="0" t="s">
        <v>23</v>
      </c>
      <c r="Q12" s="0" t="s">
        <v>33</v>
      </c>
    </row>
    <row r="13" customFormat="false" ht="15" hidden="false" customHeight="false" outlineLevel="0" collapsed="false">
      <c r="A13" s="0" t="n">
        <v>250</v>
      </c>
      <c r="B13" s="0" t="n">
        <v>250</v>
      </c>
      <c r="C13" s="0" t="n">
        <v>4</v>
      </c>
      <c r="D13" s="0" t="n">
        <v>5</v>
      </c>
      <c r="E13" s="0" t="n">
        <v>5</v>
      </c>
      <c r="F13" s="0" t="s">
        <v>17</v>
      </c>
      <c r="G13" s="0" t="s">
        <v>34</v>
      </c>
      <c r="H13" s="0" t="s">
        <v>19</v>
      </c>
      <c r="I13" s="1" t="b">
        <f aca="false">FALSE()</f>
        <v>0</v>
      </c>
      <c r="J13" s="1" t="b">
        <f aca="false">TRUE()</f>
        <v>1</v>
      </c>
      <c r="K13" s="0" t="n">
        <v>0.00018596648733348</v>
      </c>
      <c r="L13" s="0" t="n">
        <v>0.000169923583016305</v>
      </c>
      <c r="M13" s="0" t="n">
        <v>0.000164435291228603</v>
      </c>
      <c r="N13" s="0" t="n">
        <v>0.00010899098983273</v>
      </c>
      <c r="O13" s="0" t="n">
        <v>0.000136653990262249</v>
      </c>
      <c r="P13" s="0" t="s">
        <v>23</v>
      </c>
      <c r="Q13" s="0" t="s">
        <v>34</v>
      </c>
    </row>
    <row r="14" customFormat="false" ht="15" hidden="false" customHeight="false" outlineLevel="0" collapsed="false">
      <c r="A14" s="0" t="n">
        <v>250</v>
      </c>
      <c r="B14" s="0" t="n">
        <v>250</v>
      </c>
      <c r="C14" s="0" t="n">
        <v>4</v>
      </c>
      <c r="D14" s="0" t="n">
        <v>5</v>
      </c>
      <c r="E14" s="0" t="n">
        <v>5</v>
      </c>
      <c r="F14" s="0" t="s">
        <v>17</v>
      </c>
      <c r="G14" s="0" t="s">
        <v>35</v>
      </c>
      <c r="H14" s="0" t="s">
        <v>19</v>
      </c>
      <c r="I14" s="1" t="b">
        <f aca="false">FALSE()</f>
        <v>0</v>
      </c>
      <c r="J14" s="1" t="b">
        <f aca="false">TRUE()</f>
        <v>1</v>
      </c>
      <c r="K14" s="0" t="n">
        <v>0.000186060474746931</v>
      </c>
      <c r="L14" s="0" t="n">
        <v>0.000170017492483917</v>
      </c>
      <c r="M14" s="0" t="n">
        <v>0.00016452530642203</v>
      </c>
      <c r="N14" s="0" t="n">
        <v>0.000109037781656438</v>
      </c>
      <c r="O14" s="0" t="n">
        <v>0.000136713120216543</v>
      </c>
      <c r="P14" s="0" t="s">
        <v>23</v>
      </c>
      <c r="Q14" s="0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</row>
    <row r="2" customFormat="false" ht="15" hidden="false" customHeight="false" outlineLevel="0" collapsed="false">
      <c r="A2" s="0" t="n">
        <v>250</v>
      </c>
      <c r="B2" s="0" t="n">
        <v>250</v>
      </c>
      <c r="C2" s="0" t="n">
        <v>4</v>
      </c>
      <c r="D2" s="0" t="n">
        <v>5</v>
      </c>
      <c r="E2" s="0" t="n">
        <v>5</v>
      </c>
      <c r="F2" s="0" t="s">
        <v>17</v>
      </c>
      <c r="G2" s="0" t="s">
        <v>18</v>
      </c>
      <c r="H2" s="0" t="s">
        <v>36</v>
      </c>
      <c r="I2" s="1" t="b">
        <f aca="false">FALSE()</f>
        <v>0</v>
      </c>
      <c r="J2" s="1" t="b">
        <f aca="false">TRUE()</f>
        <v>1</v>
      </c>
      <c r="K2" s="0" t="n">
        <v>0.000183757716351203</v>
      </c>
      <c r="L2" s="0" t="n">
        <v>0.000167715578199433</v>
      </c>
      <c r="M2" s="0" t="n">
        <v>0.000162319823063986</v>
      </c>
      <c r="N2" s="0" t="n">
        <v>0.000107890443710193</v>
      </c>
      <c r="O2" s="0" t="n">
        <v>0.000135265394755134</v>
      </c>
      <c r="P2" s="0" t="s">
        <v>37</v>
      </c>
      <c r="Q2" s="0" t="s">
        <v>36</v>
      </c>
    </row>
    <row r="3" customFormat="false" ht="15" hidden="false" customHeight="false" outlineLevel="0" collapsed="false">
      <c r="A3" s="0" t="n">
        <v>250</v>
      </c>
      <c r="B3" s="0" t="n">
        <v>250</v>
      </c>
      <c r="C3" s="0" t="n">
        <v>4</v>
      </c>
      <c r="D3" s="0" t="n">
        <v>5</v>
      </c>
      <c r="E3" s="0" t="n">
        <v>5</v>
      </c>
      <c r="F3" s="0" t="s">
        <v>17</v>
      </c>
      <c r="G3" s="0" t="s">
        <v>18</v>
      </c>
      <c r="H3" s="0" t="s">
        <v>38</v>
      </c>
      <c r="I3" s="1" t="b">
        <f aca="false">FALSE()</f>
        <v>0</v>
      </c>
      <c r="J3" s="1" t="b">
        <f aca="false">TRUE()</f>
        <v>1</v>
      </c>
      <c r="K3" s="0" t="n">
        <v>0.578669119314733</v>
      </c>
      <c r="L3" s="0" t="n">
        <v>0.418658170220987</v>
      </c>
      <c r="M3" s="0" t="n">
        <v>0.493373286633373</v>
      </c>
      <c r="N3" s="0" t="n">
        <v>0.616477509358639</v>
      </c>
      <c r="O3" s="0" t="n">
        <v>0.550228346855718</v>
      </c>
      <c r="P3" s="0" t="s">
        <v>37</v>
      </c>
      <c r="Q3" s="0" t="s">
        <v>38</v>
      </c>
    </row>
    <row r="4" customFormat="false" ht="15" hidden="false" customHeight="false" outlineLevel="0" collapsed="false">
      <c r="A4" s="0" t="n">
        <v>250</v>
      </c>
      <c r="B4" s="0" t="n">
        <v>250</v>
      </c>
      <c r="C4" s="0" t="n">
        <v>4</v>
      </c>
      <c r="D4" s="0" t="n">
        <v>5</v>
      </c>
      <c r="E4" s="0" t="n">
        <v>5</v>
      </c>
      <c r="F4" s="0" t="s">
        <v>17</v>
      </c>
      <c r="G4" s="0" t="s">
        <v>18</v>
      </c>
      <c r="H4" s="0" t="s">
        <v>39</v>
      </c>
      <c r="I4" s="1" t="b">
        <f aca="false">FALSE()</f>
        <v>0</v>
      </c>
      <c r="J4" s="1" t="b">
        <f aca="false">TRUE()</f>
        <v>1</v>
      </c>
      <c r="K4" s="0" t="n">
        <v>0.637891723396039</v>
      </c>
      <c r="L4" s="0" t="n">
        <v>0.482735276765573</v>
      </c>
      <c r="M4" s="0" t="n">
        <v>0.476499926492424</v>
      </c>
      <c r="N4" s="0" t="n">
        <v>0.598407355739381</v>
      </c>
      <c r="O4" s="0" t="n">
        <v>0.510728827114065</v>
      </c>
      <c r="P4" s="0" t="s">
        <v>37</v>
      </c>
      <c r="Q4" s="0" t="s">
        <v>39</v>
      </c>
    </row>
    <row r="5" customFormat="false" ht="15" hidden="false" customHeight="false" outlineLevel="0" collapsed="false">
      <c r="A5" s="0" t="n">
        <v>250</v>
      </c>
      <c r="B5" s="0" t="n">
        <v>250</v>
      </c>
      <c r="C5" s="0" t="n">
        <v>4</v>
      </c>
      <c r="D5" s="0" t="n">
        <v>5</v>
      </c>
      <c r="E5" s="0" t="n">
        <v>5</v>
      </c>
      <c r="F5" s="0" t="s">
        <v>17</v>
      </c>
      <c r="G5" s="0" t="s">
        <v>18</v>
      </c>
      <c r="H5" s="0" t="s">
        <v>40</v>
      </c>
      <c r="I5" s="1" t="b">
        <f aca="false">FALSE()</f>
        <v>0</v>
      </c>
      <c r="J5" s="1" t="b">
        <f aca="false">TRUE()</f>
        <v>1</v>
      </c>
      <c r="K5" s="0" t="n">
        <v>0.578669119262475</v>
      </c>
      <c r="L5" s="0" t="n">
        <v>0.418658170107049</v>
      </c>
      <c r="M5" s="0" t="n">
        <v>0.493372845485697</v>
      </c>
      <c r="N5" s="0" t="n">
        <v>0.616477509358781</v>
      </c>
      <c r="O5" s="0" t="n">
        <v>0.550228346857172</v>
      </c>
      <c r="P5" s="0" t="s">
        <v>37</v>
      </c>
      <c r="Q5" s="0" t="s">
        <v>40</v>
      </c>
    </row>
    <row r="6" customFormat="false" ht="15" hidden="false" customHeight="false" outlineLevel="0" collapsed="false">
      <c r="A6" s="0" t="n">
        <v>250</v>
      </c>
      <c r="B6" s="0" t="n">
        <v>250</v>
      </c>
      <c r="C6" s="0" t="n">
        <v>4</v>
      </c>
      <c r="D6" s="0" t="n">
        <v>5</v>
      </c>
      <c r="E6" s="0" t="n">
        <v>5</v>
      </c>
      <c r="F6" s="0" t="s">
        <v>17</v>
      </c>
      <c r="G6" s="0" t="s">
        <v>18</v>
      </c>
      <c r="H6" s="0" t="s">
        <v>19</v>
      </c>
      <c r="I6" s="1" t="b">
        <f aca="false">FALSE()</f>
        <v>0</v>
      </c>
      <c r="J6" s="1" t="b">
        <f aca="false">TRUE()</f>
        <v>1</v>
      </c>
      <c r="K6" s="0" t="n">
        <v>0.000183755049067177</v>
      </c>
      <c r="L6" s="0" t="n">
        <v>0.000167713114057145</v>
      </c>
      <c r="M6" s="0" t="n">
        <v>0.000162317495392564</v>
      </c>
      <c r="N6" s="0" t="n">
        <v>0.000107889455390407</v>
      </c>
      <c r="O6" s="0" t="n">
        <v>0.000135263955203078</v>
      </c>
      <c r="P6" s="0" t="s">
        <v>37</v>
      </c>
      <c r="Q6" s="0" t="s">
        <v>19</v>
      </c>
    </row>
    <row r="7" customFormat="false" ht="15" hidden="false" customHeight="false" outlineLevel="0" collapsed="false">
      <c r="A7" s="0" t="n">
        <v>250</v>
      </c>
      <c r="B7" s="0" t="n">
        <v>250</v>
      </c>
      <c r="C7" s="0" t="n">
        <v>4</v>
      </c>
      <c r="D7" s="0" t="n">
        <v>5</v>
      </c>
      <c r="E7" s="0" t="n">
        <v>5</v>
      </c>
      <c r="F7" s="0" t="s">
        <v>17</v>
      </c>
      <c r="G7" s="0" t="s">
        <v>18</v>
      </c>
      <c r="H7" s="0" t="s">
        <v>41</v>
      </c>
      <c r="I7" s="1" t="b">
        <f aca="false">FALSE()</f>
        <v>0</v>
      </c>
      <c r="J7" s="1" t="b">
        <f aca="false">TRUE()</f>
        <v>1</v>
      </c>
      <c r="K7" s="0" t="n">
        <v>0.578669119263384</v>
      </c>
      <c r="L7" s="0" t="n">
        <v>0.418658170103249</v>
      </c>
      <c r="M7" s="0" t="n">
        <v>0.49337318781674</v>
      </c>
      <c r="N7" s="0" t="n">
        <v>0.616477509358774</v>
      </c>
      <c r="O7" s="0" t="n">
        <v>0.550228346853374</v>
      </c>
      <c r="P7" s="0" t="s">
        <v>37</v>
      </c>
      <c r="Q7" s="0" t="s">
        <v>41</v>
      </c>
    </row>
    <row r="8" customFormat="false" ht="15" hidden="false" customHeight="false" outlineLevel="0" collapsed="false">
      <c r="A8" s="0" t="n">
        <v>250</v>
      </c>
      <c r="B8" s="0" t="n">
        <v>250</v>
      </c>
      <c r="C8" s="0" t="n">
        <v>4</v>
      </c>
      <c r="D8" s="0" t="n">
        <v>5</v>
      </c>
      <c r="E8" s="0" t="n">
        <v>5</v>
      </c>
      <c r="F8" s="0" t="s">
        <v>17</v>
      </c>
      <c r="G8" s="0" t="s">
        <v>18</v>
      </c>
      <c r="H8" s="0" t="s">
        <v>42</v>
      </c>
      <c r="I8" s="1" t="b">
        <f aca="false">FALSE()</f>
        <v>0</v>
      </c>
      <c r="J8" s="1" t="b">
        <f aca="false">TRUE()</f>
        <v>1</v>
      </c>
      <c r="K8" s="0" t="n">
        <v>0.637891723403529</v>
      </c>
      <c r="L8" s="0" t="n">
        <v>0.482735276759656</v>
      </c>
      <c r="M8" s="0" t="n">
        <v>0.476500272918856</v>
      </c>
      <c r="N8" s="0" t="n">
        <v>0.5984073557394</v>
      </c>
      <c r="O8" s="0" t="n">
        <v>0.51072882711048</v>
      </c>
      <c r="P8" s="0" t="s">
        <v>37</v>
      </c>
      <c r="Q8" s="0" t="s">
        <v>42</v>
      </c>
    </row>
    <row r="9" customFormat="false" ht="15" hidden="false" customHeight="false" outlineLevel="0" collapsed="false">
      <c r="A9" s="0" t="n">
        <v>250</v>
      </c>
      <c r="B9" s="0" t="n">
        <v>250</v>
      </c>
      <c r="C9" s="0" t="n">
        <v>4</v>
      </c>
      <c r="D9" s="0" t="n">
        <v>5</v>
      </c>
      <c r="E9" s="0" t="n">
        <v>5</v>
      </c>
      <c r="F9" s="0" t="s">
        <v>17</v>
      </c>
      <c r="G9" s="0" t="s">
        <v>18</v>
      </c>
      <c r="H9" s="0" t="s">
        <v>43</v>
      </c>
      <c r="I9" s="1" t="b">
        <f aca="false">FALSE()</f>
        <v>0</v>
      </c>
      <c r="J9" s="1" t="b">
        <f aca="false">TRUE()</f>
        <v>1</v>
      </c>
      <c r="K9" s="0" t="n">
        <v>0.578669119331254</v>
      </c>
      <c r="L9" s="0" t="n">
        <v>0.41865817021671</v>
      </c>
      <c r="M9" s="0" t="n">
        <v>0.493373692486197</v>
      </c>
      <c r="N9" s="0" t="n">
        <v>0.616477509358642</v>
      </c>
      <c r="O9" s="0" t="n">
        <v>0.550228346854745</v>
      </c>
      <c r="P9" s="0" t="s">
        <v>37</v>
      </c>
      <c r="Q9" s="0" t="s">
        <v>43</v>
      </c>
    </row>
    <row r="10" customFormat="false" ht="15" hidden="false" customHeight="false" outlineLevel="0" collapsed="false">
      <c r="A10" s="0" t="n">
        <v>250</v>
      </c>
      <c r="B10" s="0" t="n">
        <v>250</v>
      </c>
      <c r="C10" s="0" t="n">
        <v>4</v>
      </c>
      <c r="D10" s="0" t="n">
        <v>5</v>
      </c>
      <c r="E10" s="0" t="n">
        <v>5</v>
      </c>
      <c r="F10" s="0" t="s">
        <v>17</v>
      </c>
      <c r="G10" s="0" t="s">
        <v>18</v>
      </c>
      <c r="H10" s="0" t="s">
        <v>44</v>
      </c>
      <c r="I10" s="1" t="b">
        <f aca="false">FALSE()</f>
        <v>0</v>
      </c>
      <c r="J10" s="1" t="b">
        <f aca="false">TRUE()</f>
        <v>1</v>
      </c>
      <c r="K10" s="0" t="n">
        <v>0.000183757716351203</v>
      </c>
      <c r="L10" s="0" t="n">
        <v>0.000167715578199433</v>
      </c>
      <c r="M10" s="0" t="n">
        <v>0.000162319823063982</v>
      </c>
      <c r="N10" s="0" t="n">
        <v>0.000107890443710193</v>
      </c>
      <c r="O10" s="0" t="n">
        <v>0.000135265394755134</v>
      </c>
      <c r="P10" s="0" t="s">
        <v>37</v>
      </c>
      <c r="Q10" s="0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2026-07-20T17:30:41Z</dcterms:created>
  <dc:creator>openpyxl</dc:creator>
  <dc:description/>
  <dc:language>en-US</dc:language>
  <cp:lastModifiedBy/>
  <dcterms:modified xsi:type="dcterms:W3CDTF">2026-07-21T02:57:25Z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