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id Size" sheetId="1" state="visible" r:id="rId3"/>
    <sheet name="Length Scale" sheetId="2" state="visible" r:id="rId4"/>
    <sheet name="Stencil Nodes" sheetId="3" state="visible" r:id="rId5"/>
    <sheet name="Center Rings" sheetId="4" state="visible" r:id="rId6"/>
    <sheet name="Eigenvalue Ratio" sheetId="5" state="visible" r:id="rId7"/>
    <sheet name="Eigenvector Angl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<sst xmlns="http://schemas.openxmlformats.org/spreadsheetml/2006/main" count="167" uniqueCount="21">
  <si>
    <t xml:space="preserve">Nx</t>
  </si>
  <si>
    <t xml:space="preserve">Ny</t>
  </si>
  <si>
    <t xml:space="preserve">eps</t>
  </si>
  <si>
    <t xml:space="preserve">num_stencil_nodes</t>
  </si>
  <si>
    <t xml:space="preserve">num_rings</t>
  </si>
  <si>
    <t xml:space="preserve">eigenvalue 1</t>
  </si>
  <si>
    <t xml:space="preserve">eigenvalue 2</t>
  </si>
  <si>
    <t xml:space="preserve">radian = r/24</t>
  </si>
  <si>
    <t xml:space="preserve">augmentation</t>
  </si>
  <si>
    <t xml:space="preserve">sparse</t>
  </si>
  <si>
    <t xml:space="preserve">u_exact - u max_error_rel</t>
  </si>
  <si>
    <t xml:space="preserve">u_exact - u l2_error_rel</t>
  </si>
  <si>
    <t xml:space="preserve">energy_error_rel</t>
  </si>
  <si>
    <t xml:space="preserve">Lu_exact - F max_residual_rel</t>
  </si>
  <si>
    <t xml:space="preserve">Lu_exact - F l2_residual_rel</t>
  </si>
  <si>
    <t xml:space="preserve">varied_param</t>
  </si>
  <si>
    <t xml:space="preserve">varied_value</t>
  </si>
  <si>
    <t xml:space="preserve">N_int</t>
  </si>
  <si>
    <t xml:space="preserve">Inverse Length Scale</t>
  </si>
  <si>
    <t xml:space="preserve">eig_2</t>
  </si>
  <si>
    <t xml:space="preserve">rad24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</si>
</sst>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7F0E"/>
      <rgbColor rgb="FF9467BD"/>
      <rgbColor rgb="FF969696"/>
      <rgbColor rgb="FF003366"/>
      <rgbColor rgb="FF2CA02C"/>
      <rgbColor rgb="FF003300"/>
      <rgbColor rgb="FF333300"/>
      <rgbColor rgb="FFD627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Grid Size: Relative Errors &amp; Residuals vs N_int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'Grid Size'!K1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Size'!$K$2:$K$11</c:f>
              <c:numCache>
                <c:formatCode>General</c:formatCode>
                <c:ptCount val="10"/>
                <c:pt idx="0">
                  <c:v>0.000220958736972477</c:v>
                </c:pt>
                <c:pt idx="1">
                  <c:v>0.00434495527934028</c:v>
                </c:pt>
                <c:pt idx="2">
                  <c:v>1.78999867779258E-005</c:v>
                </c:pt>
                <c:pt idx="3">
                  <c:v>7.33968037604105E-006</c:v>
                </c:pt>
                <c:pt idx="4">
                  <c:v>5.66346292944356E-005</c:v>
                </c:pt>
                <c:pt idx="5">
                  <c:v>0.000196316036690003</c:v>
                </c:pt>
                <c:pt idx="6">
                  <c:v>0.000719268024285254</c:v>
                </c:pt>
                <c:pt idx="7">
                  <c:v>0.00251476404935576</c:v>
                </c:pt>
                <c:pt idx="8">
                  <c:v>0.000483670698563257</c:v>
                </c:pt>
                <c:pt idx="9">
                  <c:v>0.0010035578023109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'Grid Size'!L1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Size'!$L$2:$L$11</c:f>
              <c:numCache>
                <c:formatCode>General</c:formatCode>
                <c:ptCount val="10"/>
                <c:pt idx="0">
                  <c:v>0.000173559102196692</c:v>
                </c:pt>
                <c:pt idx="1">
                  <c:v>0.00257780029705991</c:v>
                </c:pt>
                <c:pt idx="2">
                  <c:v>9.62278796575867E-006</c:v>
                </c:pt>
                <c:pt idx="3">
                  <c:v>3.86190658262552E-006</c:v>
                </c:pt>
                <c:pt idx="4">
                  <c:v>3.05035300712377E-005</c:v>
                </c:pt>
                <c:pt idx="5">
                  <c:v>7.88683255255007E-005</c:v>
                </c:pt>
                <c:pt idx="6">
                  <c:v>0.000317290694691705</c:v>
                </c:pt>
                <c:pt idx="7">
                  <c:v>0.00107934549908306</c:v>
                </c:pt>
                <c:pt idx="8">
                  <c:v>0.000163929584955989</c:v>
                </c:pt>
                <c:pt idx="9">
                  <c:v>0.000414881984742893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'Grid Size'!M1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Size'!$M$2:$M$11</c:f>
              <c:numCache>
                <c:formatCode>General</c:formatCode>
                <c:ptCount val="10"/>
                <c:pt idx="0">
                  <c:v>0.00872193147326266</c:v>
                </c:pt>
                <c:pt idx="1">
                  <c:v>0.00812978795056421</c:v>
                </c:pt>
                <c:pt idx="2">
                  <c:v>1.51966854200984E-005</c:v>
                </c:pt>
                <c:pt idx="3">
                  <c:v>6.71041636713261E-006</c:v>
                </c:pt>
                <c:pt idx="4">
                  <c:v>3.25775397222957E-005</c:v>
                </c:pt>
                <c:pt idx="5">
                  <c:v>9.04943466269921E-005</c:v>
                </c:pt>
                <c:pt idx="6">
                  <c:v>0.000229592138822987</c:v>
                </c:pt>
                <c:pt idx="7">
                  <c:v>0.000889408803482151</c:v>
                </c:pt>
                <c:pt idx="8">
                  <c:v>0.000136731357318024</c:v>
                </c:pt>
                <c:pt idx="9">
                  <c:v>0.000348566611457734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'Grid Size'!N1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Size'!$N$2:$N$11</c:f>
              <c:numCache>
                <c:formatCode>General</c:formatCode>
                <c:ptCount val="10"/>
                <c:pt idx="0">
                  <c:v>0.000339089648124853</c:v>
                </c:pt>
                <c:pt idx="1">
                  <c:v>3.21451159159509E-005</c:v>
                </c:pt>
                <c:pt idx="2">
                  <c:v>6.31093531399965E-006</c:v>
                </c:pt>
                <c:pt idx="3">
                  <c:v>6.86447991026774E-006</c:v>
                </c:pt>
                <c:pt idx="4">
                  <c:v>2.06987515673419E-005</c:v>
                </c:pt>
                <c:pt idx="5">
                  <c:v>4.27709047446299E-005</c:v>
                </c:pt>
                <c:pt idx="6">
                  <c:v>0.000135043918072068</c:v>
                </c:pt>
                <c:pt idx="7">
                  <c:v>8.49881635503226E-005</c:v>
                </c:pt>
                <c:pt idx="8">
                  <c:v>6.1390987260391E-005</c:v>
                </c:pt>
                <c:pt idx="9">
                  <c:v>3.37675224660857E-005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'Grid Size'!O1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Size'!$O$2:$O$11</c:f>
              <c:numCache>
                <c:formatCode>General</c:formatCode>
                <c:ptCount val="10"/>
                <c:pt idx="0">
                  <c:v>0.000142297090321607</c:v>
                </c:pt>
                <c:pt idx="1">
                  <c:v>8.32342698657939E-006</c:v>
                </c:pt>
                <c:pt idx="2">
                  <c:v>6.38507867116509E-006</c:v>
                </c:pt>
                <c:pt idx="3">
                  <c:v>2.36456859654325E-006</c:v>
                </c:pt>
                <c:pt idx="4">
                  <c:v>2.06728580411332E-005</c:v>
                </c:pt>
                <c:pt idx="5">
                  <c:v>8.58401810353026E-006</c:v>
                </c:pt>
                <c:pt idx="6">
                  <c:v>3.21111693899594E-005</c:v>
                </c:pt>
                <c:pt idx="7">
                  <c:v>1.9644530352418E-005</c:v>
                </c:pt>
                <c:pt idx="8">
                  <c:v>1.50680335279181E-005</c:v>
                </c:pt>
                <c:pt idx="9">
                  <c:v>7.87369322547168E-006</c:v>
                </c:pt>
              </c:numCache>
            </c:numRef>
          </c:yVal>
          <c:smooth val="0"/>
        </c:ser>
        <c:axId val="34962770"/>
        <c:axId val="33326986"/>
      </c:scatterChart>
      <c:valAx>
        <c:axId val="3496277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N_int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326986"/>
        <c:crosses val="autoZero"/>
        <c:crossBetween val="midCat"/>
      </c:valAx>
      <c:valAx>
        <c:axId val="33326986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96277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Length Scale: Relative Errors &amp; Residuals vs Inverse Length Scale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'Length Scale'!K1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Scale'!$Q$2:$Q$14</c:f>
              <c:numCache>
                <c:formatCode>General</c:formatCode>
                <c:ptCount val="13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</c:numCache>
            </c:numRef>
          </c:xVal>
          <c:yVal>
            <c:numRef>
              <c:f>'Length Scale'!$K$2:$K$14</c:f>
              <c:numCache>
                <c:formatCode>General</c:formatCode>
                <c:ptCount val="13"/>
                <c:pt idx="0">
                  <c:v>34120.3180681457</c:v>
                </c:pt>
                <c:pt idx="1">
                  <c:v>369870.119584499</c:v>
                </c:pt>
                <c:pt idx="2">
                  <c:v>0.411369253146511</c:v>
                </c:pt>
                <c:pt idx="3">
                  <c:v>0.0221458103761089</c:v>
                </c:pt>
                <c:pt idx="4">
                  <c:v>0.00306251255606351</c:v>
                </c:pt>
                <c:pt idx="5">
                  <c:v>0.000724459192678251</c:v>
                </c:pt>
                <c:pt idx="6">
                  <c:v>5.66346292944356E-005</c:v>
                </c:pt>
                <c:pt idx="7">
                  <c:v>0.000404005228379177</c:v>
                </c:pt>
                <c:pt idx="8">
                  <c:v>5.29426670428861E-005</c:v>
                </c:pt>
                <c:pt idx="9">
                  <c:v>0.000255690793867696</c:v>
                </c:pt>
                <c:pt idx="10">
                  <c:v>0.000166233620365647</c:v>
                </c:pt>
                <c:pt idx="11">
                  <c:v>0.00017679580878886</c:v>
                </c:pt>
                <c:pt idx="12">
                  <c:v>0.000465095792282851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'Length Scale'!L1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Scale'!$Q$2:$Q$14</c:f>
              <c:numCache>
                <c:formatCode>General</c:formatCode>
                <c:ptCount val="13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</c:numCache>
            </c:numRef>
          </c:xVal>
          <c:yVal>
            <c:numRef>
              <c:f>'Length Scale'!$L$2:$L$14</c:f>
              <c:numCache>
                <c:formatCode>General</c:formatCode>
                <c:ptCount val="13"/>
                <c:pt idx="0">
                  <c:v>14519.5159001426</c:v>
                </c:pt>
                <c:pt idx="1">
                  <c:v>152824.496971002</c:v>
                </c:pt>
                <c:pt idx="2">
                  <c:v>0.158759105762284</c:v>
                </c:pt>
                <c:pt idx="3">
                  <c:v>0.00839394749884641</c:v>
                </c:pt>
                <c:pt idx="4">
                  <c:v>0.00123066286809607</c:v>
                </c:pt>
                <c:pt idx="5">
                  <c:v>0.000316440658889042</c:v>
                </c:pt>
                <c:pt idx="6">
                  <c:v>3.05035300712377E-005</c:v>
                </c:pt>
                <c:pt idx="7">
                  <c:v>0.000195794682051131</c:v>
                </c:pt>
                <c:pt idx="8">
                  <c:v>2.53941967627898E-005</c:v>
                </c:pt>
                <c:pt idx="9">
                  <c:v>0.000111623252451954</c:v>
                </c:pt>
                <c:pt idx="10">
                  <c:v>9.44090897712404E-005</c:v>
                </c:pt>
                <c:pt idx="11">
                  <c:v>7.9969386485324E-005</c:v>
                </c:pt>
                <c:pt idx="12">
                  <c:v>0.000131273974704007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'Length Scale'!M1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Scale'!$Q$2:$Q$14</c:f>
              <c:numCache>
                <c:formatCode>General</c:formatCode>
                <c:ptCount val="13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</c:numCache>
            </c:numRef>
          </c:xVal>
          <c:yVal>
            <c:numRef>
              <c:f>'Length Scale'!$M$2:$M$14</c:f>
              <c:numCache>
                <c:formatCode>General</c:formatCode>
                <c:ptCount val="13"/>
                <c:pt idx="0">
                  <c:v>2636.57040694038</c:v>
                </c:pt>
                <c:pt idx="1">
                  <c:v>27512.6660434387</c:v>
                </c:pt>
                <c:pt idx="2">
                  <c:v>0.0827577205303426</c:v>
                </c:pt>
                <c:pt idx="3">
                  <c:v>0.00404504749804549</c:v>
                </c:pt>
                <c:pt idx="4">
                  <c:v>0.000621411493843901</c:v>
                </c:pt>
                <c:pt idx="5">
                  <c:v>0.000350354084025479</c:v>
                </c:pt>
                <c:pt idx="6">
                  <c:v>3.25775397222957E-005</c:v>
                </c:pt>
                <c:pt idx="7">
                  <c:v>0.000161557808833205</c:v>
                </c:pt>
                <c:pt idx="8">
                  <c:v>3.54161853064291E-005</c:v>
                </c:pt>
                <c:pt idx="9">
                  <c:v>0.000246121125294942</c:v>
                </c:pt>
                <c:pt idx="10">
                  <c:v>0.000332532168652067</c:v>
                </c:pt>
                <c:pt idx="11">
                  <c:v>0.000502265557349992</c:v>
                </c:pt>
                <c:pt idx="12">
                  <c:v>0.0225679784908187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'Length Scale'!N1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Scale'!$Q$2:$Q$14</c:f>
              <c:numCache>
                <c:formatCode>General</c:formatCode>
                <c:ptCount val="13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</c:numCache>
            </c:numRef>
          </c:xVal>
          <c:yVal>
            <c:numRef>
              <c:f>'Length Scale'!$N$2:$N$14</c:f>
              <c:numCache>
                <c:formatCode>General</c:formatCode>
                <c:ptCount val="13"/>
                <c:pt idx="0">
                  <c:v>0.221596997038846</c:v>
                </c:pt>
                <c:pt idx="1">
                  <c:v>0.22151462130349</c:v>
                </c:pt>
                <c:pt idx="2">
                  <c:v>0.0190555674709825</c:v>
                </c:pt>
                <c:pt idx="3">
                  <c:v>0.000908409691600537</c:v>
                </c:pt>
                <c:pt idx="4">
                  <c:v>0.000214956682292626</c:v>
                </c:pt>
                <c:pt idx="5">
                  <c:v>2.53678879544926E-005</c:v>
                </c:pt>
                <c:pt idx="6">
                  <c:v>2.06987515673419E-005</c:v>
                </c:pt>
                <c:pt idx="7">
                  <c:v>8.39227379627231E-006</c:v>
                </c:pt>
                <c:pt idx="8">
                  <c:v>6.34692288500692E-006</c:v>
                </c:pt>
                <c:pt idx="9">
                  <c:v>2.27418275335586E-005</c:v>
                </c:pt>
                <c:pt idx="10">
                  <c:v>4.36889790046711E-005</c:v>
                </c:pt>
                <c:pt idx="11">
                  <c:v>5.38124191556669E-005</c:v>
                </c:pt>
                <c:pt idx="12">
                  <c:v>0.017046217594999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'Length Scale'!O1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Scale'!$Q$2:$Q$14</c:f>
              <c:numCache>
                <c:formatCode>General</c:formatCode>
                <c:ptCount val="13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</c:numCache>
            </c:numRef>
          </c:xVal>
          <c:yVal>
            <c:numRef>
              <c:f>'Length Scale'!$O$2:$O$14</c:f>
              <c:numCache>
                <c:formatCode>General</c:formatCode>
                <c:ptCount val="13"/>
                <c:pt idx="0">
                  <c:v>0.0592227824490918</c:v>
                </c:pt>
                <c:pt idx="1">
                  <c:v>0.0591977403234529</c:v>
                </c:pt>
                <c:pt idx="2">
                  <c:v>0.0180609186513663</c:v>
                </c:pt>
                <c:pt idx="3">
                  <c:v>0.000296762811523413</c:v>
                </c:pt>
                <c:pt idx="4">
                  <c:v>6.56942353728161E-005</c:v>
                </c:pt>
                <c:pt idx="5">
                  <c:v>2.02316452044038E-005</c:v>
                </c:pt>
                <c:pt idx="6">
                  <c:v>2.06728580411332E-005</c:v>
                </c:pt>
                <c:pt idx="7">
                  <c:v>8.55430319398051E-006</c:v>
                </c:pt>
                <c:pt idx="8">
                  <c:v>2.70170465603267E-006</c:v>
                </c:pt>
                <c:pt idx="9">
                  <c:v>6.58432665284195E-006</c:v>
                </c:pt>
                <c:pt idx="10">
                  <c:v>4.34995932927054E-005</c:v>
                </c:pt>
                <c:pt idx="11">
                  <c:v>1.2126912843346E-005</c:v>
                </c:pt>
                <c:pt idx="12">
                  <c:v>0.00107304695930343</c:v>
                </c:pt>
              </c:numCache>
            </c:numRef>
          </c:yVal>
          <c:smooth val="0"/>
        </c:ser>
        <c:axId val="90266918"/>
        <c:axId val="35342460"/>
      </c:scatterChart>
      <c:valAx>
        <c:axId val="9026691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Inverse Length Scale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342460"/>
        <c:crosses val="autoZero"/>
        <c:crossBetween val="midCat"/>
      </c:valAx>
      <c:valAx>
        <c:axId val="35342460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26691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Stencil Nodes: Relative Errors &amp; Residuals vs num_stencil_nodes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'Stencil Nodes'!K1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Nodes'!$Q$2:$Q$13</c:f>
              <c:numCache>
                <c:formatCode>General</c:formatCode>
                <c:ptCount val="12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200</c:v>
                </c:pt>
              </c:numCache>
            </c:numRef>
          </c:xVal>
          <c:yVal>
            <c:numRef>
              <c:f>'Stencil Nodes'!$K$2:$K$13</c:f>
              <c:numCache>
                <c:formatCode>General</c:formatCode>
                <c:ptCount val="12"/>
                <c:pt idx="0">
                  <c:v>0.000762789991507654</c:v>
                </c:pt>
                <c:pt idx="1">
                  <c:v>9.90032924792802E-005</c:v>
                </c:pt>
                <c:pt idx="2">
                  <c:v>0.00230321905672094</c:v>
                </c:pt>
                <c:pt idx="3">
                  <c:v>0.000768785544942772</c:v>
                </c:pt>
                <c:pt idx="4">
                  <c:v>7.26173096310334E-005</c:v>
                </c:pt>
                <c:pt idx="5">
                  <c:v>0.000353043017440319</c:v>
                </c:pt>
                <c:pt idx="6">
                  <c:v>0.0104847469834172</c:v>
                </c:pt>
                <c:pt idx="7">
                  <c:v>5.66346292944356E-005</c:v>
                </c:pt>
                <c:pt idx="8">
                  <c:v>9.10460598618483E-005</c:v>
                </c:pt>
                <c:pt idx="9">
                  <c:v>0.000876449881439267</c:v>
                </c:pt>
                <c:pt idx="10">
                  <c:v>0.00110728341752999</c:v>
                </c:pt>
                <c:pt idx="11">
                  <c:v>0.000122016553690969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'Stencil Nodes'!L1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Nodes'!$Q$2:$Q$13</c:f>
              <c:numCache>
                <c:formatCode>General</c:formatCode>
                <c:ptCount val="12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200</c:v>
                </c:pt>
              </c:numCache>
            </c:numRef>
          </c:xVal>
          <c:yVal>
            <c:numRef>
              <c:f>'Stencil Nodes'!$L$2:$L$13</c:f>
              <c:numCache>
                <c:formatCode>General</c:formatCode>
                <c:ptCount val="12"/>
                <c:pt idx="0">
                  <c:v>0.000184172275961425</c:v>
                </c:pt>
                <c:pt idx="1">
                  <c:v>2.86929648980339E-005</c:v>
                </c:pt>
                <c:pt idx="2">
                  <c:v>0.00102558351149157</c:v>
                </c:pt>
                <c:pt idx="3">
                  <c:v>0.000267781503650438</c:v>
                </c:pt>
                <c:pt idx="4">
                  <c:v>2.6496000558122E-005</c:v>
                </c:pt>
                <c:pt idx="5">
                  <c:v>0.00016850214355391</c:v>
                </c:pt>
                <c:pt idx="6">
                  <c:v>0.00312803958978353</c:v>
                </c:pt>
                <c:pt idx="7">
                  <c:v>3.05035300712377E-005</c:v>
                </c:pt>
                <c:pt idx="8">
                  <c:v>4.78900895143479E-005</c:v>
                </c:pt>
                <c:pt idx="9">
                  <c:v>0.000426923358301169</c:v>
                </c:pt>
                <c:pt idx="10">
                  <c:v>0.000392964580856778</c:v>
                </c:pt>
                <c:pt idx="11">
                  <c:v>5.54648612374083E-005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'Stencil Nodes'!M1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Nodes'!$Q$2:$Q$13</c:f>
              <c:numCache>
                <c:formatCode>General</c:formatCode>
                <c:ptCount val="12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200</c:v>
                </c:pt>
              </c:numCache>
            </c:numRef>
          </c:xVal>
          <c:yVal>
            <c:numRef>
              <c:f>'Stencil Nodes'!$M$2:$M$13</c:f>
              <c:numCache>
                <c:formatCode>General</c:formatCode>
                <c:ptCount val="12"/>
                <c:pt idx="0">
                  <c:v>0.000155865321174551</c:v>
                </c:pt>
                <c:pt idx="1">
                  <c:v>9.72167708794466E-005</c:v>
                </c:pt>
                <c:pt idx="2">
                  <c:v>0.000664656417118592</c:v>
                </c:pt>
                <c:pt idx="3">
                  <c:v>0.000584394961626701</c:v>
                </c:pt>
                <c:pt idx="4">
                  <c:v>2.6265778818675E-005</c:v>
                </c:pt>
                <c:pt idx="5">
                  <c:v>0.000121591528292061</c:v>
                </c:pt>
                <c:pt idx="6">
                  <c:v>0.00256195563944385</c:v>
                </c:pt>
                <c:pt idx="7">
                  <c:v>3.25775397222957E-005</c:v>
                </c:pt>
                <c:pt idx="8">
                  <c:v>4.54224597977272E-005</c:v>
                </c:pt>
                <c:pt idx="9">
                  <c:v>0.00031775639702364</c:v>
                </c:pt>
                <c:pt idx="10">
                  <c:v>0.000222276048363599</c:v>
                </c:pt>
                <c:pt idx="11">
                  <c:v>3.01065083198709E-005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'Stencil Nodes'!N1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Nodes'!$Q$2:$Q$13</c:f>
              <c:numCache>
                <c:formatCode>General</c:formatCode>
                <c:ptCount val="12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200</c:v>
                </c:pt>
              </c:numCache>
            </c:numRef>
          </c:xVal>
          <c:yVal>
            <c:numRef>
              <c:f>'Stencil Nodes'!$N$2:$N$13</c:f>
              <c:numCache>
                <c:formatCode>General</c:formatCode>
                <c:ptCount val="12"/>
                <c:pt idx="0">
                  <c:v>2.13718070086074E-005</c:v>
                </c:pt>
                <c:pt idx="1">
                  <c:v>5.11192972186164E-005</c:v>
                </c:pt>
                <c:pt idx="2">
                  <c:v>9.684914977578E-005</c:v>
                </c:pt>
                <c:pt idx="3">
                  <c:v>0.000136604919249104</c:v>
                </c:pt>
                <c:pt idx="4">
                  <c:v>2.03313511226106E-005</c:v>
                </c:pt>
                <c:pt idx="5">
                  <c:v>3.59534036904405E-005</c:v>
                </c:pt>
                <c:pt idx="6">
                  <c:v>1.98061599401699E-005</c:v>
                </c:pt>
                <c:pt idx="7">
                  <c:v>2.06987515673419E-005</c:v>
                </c:pt>
                <c:pt idx="8">
                  <c:v>3.63740111801371E-005</c:v>
                </c:pt>
                <c:pt idx="9">
                  <c:v>4.34971354179717E-005</c:v>
                </c:pt>
                <c:pt idx="10">
                  <c:v>2.31430113826875E-005</c:v>
                </c:pt>
                <c:pt idx="11">
                  <c:v>1.08878353758814E-005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'Stencil Nodes'!O1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Nodes'!$Q$2:$Q$13</c:f>
              <c:numCache>
                <c:formatCode>General</c:formatCode>
                <c:ptCount val="12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200</c:v>
                </c:pt>
              </c:numCache>
            </c:numRef>
          </c:xVal>
          <c:yVal>
            <c:numRef>
              <c:f>'Stencil Nodes'!$O$2:$O$13</c:f>
              <c:numCache>
                <c:formatCode>General</c:formatCode>
                <c:ptCount val="12"/>
                <c:pt idx="0">
                  <c:v>1.29226270533992E-005</c:v>
                </c:pt>
                <c:pt idx="1">
                  <c:v>1.04901068799044E-005</c:v>
                </c:pt>
                <c:pt idx="2">
                  <c:v>2.75740981660415E-005</c:v>
                </c:pt>
                <c:pt idx="3">
                  <c:v>2.85849580206485E-005</c:v>
                </c:pt>
                <c:pt idx="4">
                  <c:v>8.31656035391638E-006</c:v>
                </c:pt>
                <c:pt idx="5">
                  <c:v>1.19544071006366E-005</c:v>
                </c:pt>
                <c:pt idx="6">
                  <c:v>1.89301763785535E-005</c:v>
                </c:pt>
                <c:pt idx="7">
                  <c:v>2.06728580411332E-005</c:v>
                </c:pt>
                <c:pt idx="8">
                  <c:v>3.48148365287503E-005</c:v>
                </c:pt>
                <c:pt idx="9">
                  <c:v>4.31358310865967E-005</c:v>
                </c:pt>
                <c:pt idx="10">
                  <c:v>1.5648720608694E-005</c:v>
                </c:pt>
                <c:pt idx="11">
                  <c:v>3.49980909748219E-006</c:v>
                </c:pt>
              </c:numCache>
            </c:numRef>
          </c:yVal>
          <c:smooth val="0"/>
        </c:ser>
        <c:axId val="86655708"/>
        <c:axId val="19873194"/>
      </c:scatterChart>
      <c:valAx>
        <c:axId val="8665570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num_stencil_nodes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873194"/>
        <c:crosses val="autoZero"/>
        <c:crossBetween val="midCat"/>
      </c:valAx>
      <c:valAx>
        <c:axId val="19873194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65570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Center Rings: Relative Errors &amp; Residuals vs num_rings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'Center Rings'!K1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Rings'!$Q$2:$Q$9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Rings'!$K$2:$K$9</c:f>
              <c:numCache>
                <c:formatCode>General</c:formatCode>
                <c:ptCount val="8"/>
                <c:pt idx="0">
                  <c:v>6.89364965209091E-005</c:v>
                </c:pt>
                <c:pt idx="1">
                  <c:v>0.000111196422502871</c:v>
                </c:pt>
                <c:pt idx="2">
                  <c:v>0.000247127418497324</c:v>
                </c:pt>
                <c:pt idx="3">
                  <c:v>0.000107543116488755</c:v>
                </c:pt>
                <c:pt idx="4">
                  <c:v>0.000191678053999319</c:v>
                </c:pt>
                <c:pt idx="5">
                  <c:v>5.66346292944356E-005</c:v>
                </c:pt>
                <c:pt idx="6">
                  <c:v>0.000115759561424425</c:v>
                </c:pt>
                <c:pt idx="7">
                  <c:v>0.000156169725801396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'Center Rings'!L1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Rings'!$Q$2:$Q$9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Rings'!$L$2:$L$9</c:f>
              <c:numCache>
                <c:formatCode>General</c:formatCode>
                <c:ptCount val="8"/>
                <c:pt idx="0">
                  <c:v>3.61180151030068E-005</c:v>
                </c:pt>
                <c:pt idx="1">
                  <c:v>5.58117332094809E-005</c:v>
                </c:pt>
                <c:pt idx="2">
                  <c:v>0.000111585312117478</c:v>
                </c:pt>
                <c:pt idx="3">
                  <c:v>5.18802511101854E-005</c:v>
                </c:pt>
                <c:pt idx="4">
                  <c:v>7.85823167876761E-005</c:v>
                </c:pt>
                <c:pt idx="5">
                  <c:v>3.05035300712377E-005</c:v>
                </c:pt>
                <c:pt idx="6">
                  <c:v>5.60672059420899E-005</c:v>
                </c:pt>
                <c:pt idx="7">
                  <c:v>7.23906795482369E-005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'Center Rings'!M1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Rings'!$Q$2:$Q$9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Rings'!$M$2:$M$9</c:f>
              <c:numCache>
                <c:formatCode>General</c:formatCode>
                <c:ptCount val="8"/>
                <c:pt idx="0">
                  <c:v>4.27820874275424E-005</c:v>
                </c:pt>
                <c:pt idx="1">
                  <c:v>6.26450338115019E-005</c:v>
                </c:pt>
                <c:pt idx="2">
                  <c:v>0.000123387800116267</c:v>
                </c:pt>
                <c:pt idx="3">
                  <c:v>5.86882518058744E-005</c:v>
                </c:pt>
                <c:pt idx="4">
                  <c:v>8.79338136013159E-005</c:v>
                </c:pt>
                <c:pt idx="5">
                  <c:v>3.25775397222957E-005</c:v>
                </c:pt>
                <c:pt idx="6">
                  <c:v>6.76143020756017E-005</c:v>
                </c:pt>
                <c:pt idx="7">
                  <c:v>7.75939810415302E-005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'Center Rings'!N1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Rings'!$Q$2:$Q$9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Rings'!$N$2:$N$9</c:f>
              <c:numCache>
                <c:formatCode>General</c:formatCode>
                <c:ptCount val="8"/>
                <c:pt idx="0">
                  <c:v>2.06951432132138E-005</c:v>
                </c:pt>
                <c:pt idx="1">
                  <c:v>2.06973970859267E-005</c:v>
                </c:pt>
                <c:pt idx="2">
                  <c:v>2.06991823730468E-005</c:v>
                </c:pt>
                <c:pt idx="3">
                  <c:v>2.06992623496756E-005</c:v>
                </c:pt>
                <c:pt idx="4">
                  <c:v>2.08507136894681E-005</c:v>
                </c:pt>
                <c:pt idx="5">
                  <c:v>2.06987515673419E-005</c:v>
                </c:pt>
                <c:pt idx="6">
                  <c:v>2.06985293137199E-005</c:v>
                </c:pt>
                <c:pt idx="7">
                  <c:v>2.44490327148205E-005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'Center Rings'!O1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Rings'!$Q$2:$Q$9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Rings'!$O$2:$O$9</c:f>
              <c:numCache>
                <c:formatCode>General</c:formatCode>
                <c:ptCount val="8"/>
                <c:pt idx="0">
                  <c:v>2.0610894518043E-005</c:v>
                </c:pt>
                <c:pt idx="1">
                  <c:v>2.06702863130141E-005</c:v>
                </c:pt>
                <c:pt idx="2">
                  <c:v>2.06321293401747E-005</c:v>
                </c:pt>
                <c:pt idx="3">
                  <c:v>2.07323808254881E-005</c:v>
                </c:pt>
                <c:pt idx="4">
                  <c:v>2.06729710377307E-005</c:v>
                </c:pt>
                <c:pt idx="5">
                  <c:v>2.06728580411332E-005</c:v>
                </c:pt>
                <c:pt idx="6">
                  <c:v>2.06768815199808E-005</c:v>
                </c:pt>
                <c:pt idx="7">
                  <c:v>2.00561328158049E-005</c:v>
                </c:pt>
              </c:numCache>
            </c:numRef>
          </c:yVal>
          <c:smooth val="0"/>
        </c:ser>
        <c:axId val="10388397"/>
        <c:axId val="68944047"/>
      </c:scatterChart>
      <c:valAx>
        <c:axId val="1038839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num_rings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944047"/>
        <c:crosses val="autoZero"/>
        <c:crossBetween val="midCat"/>
      </c:valAx>
      <c:valAx>
        <c:axId val="68944047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38839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Eigenvalue Ratio: Relative Errors &amp; Residuals vs eig_2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'Eigenvalue Ratio'!K1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Ratio'!$K$2:$K$14</c:f>
              <c:numCache>
                <c:formatCode>General</c:formatCode>
                <c:ptCount val="13"/>
                <c:pt idx="0">
                  <c:v>5.86856959733002E-005</c:v>
                </c:pt>
                <c:pt idx="1">
                  <c:v>3.52458201415705E-005</c:v>
                </c:pt>
                <c:pt idx="2">
                  <c:v>5.26496936924146E-005</c:v>
                </c:pt>
                <c:pt idx="3">
                  <c:v>0.000103696013858329</c:v>
                </c:pt>
                <c:pt idx="4">
                  <c:v>6.71920409266821E-005</c:v>
                </c:pt>
                <c:pt idx="5">
                  <c:v>7.11678458546871E-005</c:v>
                </c:pt>
                <c:pt idx="6">
                  <c:v>5.73228279258588E-005</c:v>
                </c:pt>
                <c:pt idx="7">
                  <c:v>5.66346292944356E-005</c:v>
                </c:pt>
                <c:pt idx="8">
                  <c:v>7.97189221495013E-005</c:v>
                </c:pt>
                <c:pt idx="9">
                  <c:v>9.75571351081915E-005</c:v>
                </c:pt>
                <c:pt idx="10">
                  <c:v>0.00016114443396982</c:v>
                </c:pt>
                <c:pt idx="11">
                  <c:v>0.000183386340285251</c:v>
                </c:pt>
                <c:pt idx="12">
                  <c:v>0.000205072325032599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'Eigenvalue Ratio'!L1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Ratio'!$L$2:$L$14</c:f>
              <c:numCache>
                <c:formatCode>General</c:formatCode>
                <c:ptCount val="13"/>
                <c:pt idx="0">
                  <c:v>2.82973911926111E-005</c:v>
                </c:pt>
                <c:pt idx="1">
                  <c:v>1.33816709285423E-005</c:v>
                </c:pt>
                <c:pt idx="2">
                  <c:v>2.51061049616774E-005</c:v>
                </c:pt>
                <c:pt idx="3">
                  <c:v>4.92675009652373E-005</c:v>
                </c:pt>
                <c:pt idx="4">
                  <c:v>3.50895115509709E-005</c:v>
                </c:pt>
                <c:pt idx="5">
                  <c:v>3.09052692721257E-005</c:v>
                </c:pt>
                <c:pt idx="6">
                  <c:v>2.88927734031761E-005</c:v>
                </c:pt>
                <c:pt idx="7">
                  <c:v>3.05035300712377E-005</c:v>
                </c:pt>
                <c:pt idx="8">
                  <c:v>4.15964203432122E-005</c:v>
                </c:pt>
                <c:pt idx="9">
                  <c:v>5.02096074183987E-005</c:v>
                </c:pt>
                <c:pt idx="10">
                  <c:v>6.72948816149448E-005</c:v>
                </c:pt>
                <c:pt idx="11">
                  <c:v>7.17447846986727E-005</c:v>
                </c:pt>
                <c:pt idx="12">
                  <c:v>7.60940090628756E-005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'Eigenvalue Ratio'!M1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Ratio'!$M$2:$M$14</c:f>
              <c:numCache>
                <c:formatCode>General</c:formatCode>
                <c:ptCount val="13"/>
                <c:pt idx="0">
                  <c:v>8.22196868971752E-005</c:v>
                </c:pt>
                <c:pt idx="1">
                  <c:v>3.52893454342805E-005</c:v>
                </c:pt>
                <c:pt idx="2">
                  <c:v>3.93633372765503E-005</c:v>
                </c:pt>
                <c:pt idx="3">
                  <c:v>7.24897414682875E-005</c:v>
                </c:pt>
                <c:pt idx="4">
                  <c:v>4.44706960313244E-005</c:v>
                </c:pt>
                <c:pt idx="5">
                  <c:v>3.70223840163767E-005</c:v>
                </c:pt>
                <c:pt idx="6">
                  <c:v>3.33773270343353E-005</c:v>
                </c:pt>
                <c:pt idx="7">
                  <c:v>3.25775397222957E-005</c:v>
                </c:pt>
                <c:pt idx="8">
                  <c:v>4.72607814133885E-005</c:v>
                </c:pt>
                <c:pt idx="9">
                  <c:v>5.80656448140083E-005</c:v>
                </c:pt>
                <c:pt idx="10">
                  <c:v>7.68622444684858E-005</c:v>
                </c:pt>
                <c:pt idx="11">
                  <c:v>8.12348490256973E-005</c:v>
                </c:pt>
                <c:pt idx="12">
                  <c:v>8.53204025739636E-005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'Eigenvalue Ratio'!N1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Ratio'!$N$2:$N$14</c:f>
              <c:numCache>
                <c:formatCode>General</c:formatCode>
                <c:ptCount val="13"/>
                <c:pt idx="0">
                  <c:v>8.59744411618817E-005</c:v>
                </c:pt>
                <c:pt idx="1">
                  <c:v>5.85848453394192E-005</c:v>
                </c:pt>
                <c:pt idx="2">
                  <c:v>2.38341770663391E-005</c:v>
                </c:pt>
                <c:pt idx="3">
                  <c:v>1.86739355722974E-005</c:v>
                </c:pt>
                <c:pt idx="4">
                  <c:v>2.00964002197624E-005</c:v>
                </c:pt>
                <c:pt idx="5">
                  <c:v>2.04117939957303E-005</c:v>
                </c:pt>
                <c:pt idx="6">
                  <c:v>2.06667164351223E-005</c:v>
                </c:pt>
                <c:pt idx="7">
                  <c:v>2.06987515673419E-005</c:v>
                </c:pt>
                <c:pt idx="8">
                  <c:v>2.07244150801834E-005</c:v>
                </c:pt>
                <c:pt idx="9">
                  <c:v>2.07275665073883E-005</c:v>
                </c:pt>
                <c:pt idx="10">
                  <c:v>2.07302074380641E-005</c:v>
                </c:pt>
                <c:pt idx="11">
                  <c:v>2.07305165106895E-005</c:v>
                </c:pt>
                <c:pt idx="12">
                  <c:v>2.07307741242993E-005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'Eigenvalue Ratio'!O1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Ratio'!$O$2:$O$14</c:f>
              <c:numCache>
                <c:formatCode>General</c:formatCode>
                <c:ptCount val="13"/>
                <c:pt idx="0">
                  <c:v>1.71762475599319E-005</c:v>
                </c:pt>
                <c:pt idx="1">
                  <c:v>9.73728123992076E-006</c:v>
                </c:pt>
                <c:pt idx="2">
                  <c:v>1.52216075642104E-005</c:v>
                </c:pt>
                <c:pt idx="3">
                  <c:v>1.77474193866478E-005</c:v>
                </c:pt>
                <c:pt idx="4">
                  <c:v>2.0077321818858E-005</c:v>
                </c:pt>
                <c:pt idx="5">
                  <c:v>2.03886916995599E-005</c:v>
                </c:pt>
                <c:pt idx="6">
                  <c:v>2.06410994401836E-005</c:v>
                </c:pt>
                <c:pt idx="7">
                  <c:v>2.06728580411332E-005</c:v>
                </c:pt>
                <c:pt idx="8">
                  <c:v>2.06982980147481E-005</c:v>
                </c:pt>
                <c:pt idx="9">
                  <c:v>2.07014798112857E-005</c:v>
                </c:pt>
                <c:pt idx="10">
                  <c:v>2.07040276256044E-005</c:v>
                </c:pt>
                <c:pt idx="11">
                  <c:v>2.0704344264096E-005</c:v>
                </c:pt>
                <c:pt idx="12">
                  <c:v>2.07045989267232E-005</c:v>
                </c:pt>
              </c:numCache>
            </c:numRef>
          </c:yVal>
          <c:smooth val="0"/>
        </c:ser>
        <c:axId val="29523770"/>
        <c:axId val="17498122"/>
      </c:scatterChart>
      <c:valAx>
        <c:axId val="2952377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eig_2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498122"/>
        <c:crosses val="autoZero"/>
        <c:crossBetween val="midCat"/>
      </c:valAx>
      <c:valAx>
        <c:axId val="17498122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52377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Eigenvector Angle: Relative Errors &amp; Residuals vs rad24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'Eigenvector Angle'!K1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Angle'!$K$2:$K$10</c:f>
              <c:numCache>
                <c:formatCode>General</c:formatCode>
                <c:ptCount val="9"/>
                <c:pt idx="0">
                  <c:v>5.71891946598428E-005</c:v>
                </c:pt>
                <c:pt idx="1">
                  <c:v>0.00244541030257462</c:v>
                </c:pt>
                <c:pt idx="2">
                  <c:v>0.00276417272618925</c:v>
                </c:pt>
                <c:pt idx="3">
                  <c:v>0.000609729728112728</c:v>
                </c:pt>
                <c:pt idx="4">
                  <c:v>5.66346292944356E-005</c:v>
                </c:pt>
                <c:pt idx="5">
                  <c:v>0.000530336241653248</c:v>
                </c:pt>
                <c:pt idx="6">
                  <c:v>0.000651237850198425</c:v>
                </c:pt>
                <c:pt idx="7">
                  <c:v>8.55020579217297E-005</c:v>
                </c:pt>
                <c:pt idx="8">
                  <c:v>5.71914788700996E-005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'Eigenvector Angle'!L1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Angle'!$L$2:$L$10</c:f>
              <c:numCache>
                <c:formatCode>General</c:formatCode>
                <c:ptCount val="9"/>
                <c:pt idx="0">
                  <c:v>3.89978867107578E-005</c:v>
                </c:pt>
                <c:pt idx="1">
                  <c:v>0.000511081038096943</c:v>
                </c:pt>
                <c:pt idx="2">
                  <c:v>0.000285724644277873</c:v>
                </c:pt>
                <c:pt idx="3">
                  <c:v>9.84913596911097E-005</c:v>
                </c:pt>
                <c:pt idx="4">
                  <c:v>3.05035300712377E-005</c:v>
                </c:pt>
                <c:pt idx="5">
                  <c:v>8.29312844129712E-005</c:v>
                </c:pt>
                <c:pt idx="6">
                  <c:v>0.000107151059549277</c:v>
                </c:pt>
                <c:pt idx="7">
                  <c:v>3.7368334090234E-005</c:v>
                </c:pt>
                <c:pt idx="8">
                  <c:v>3.89984360728599E-005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'Eigenvector Angle'!M1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Angle'!$M$2:$M$10</c:f>
              <c:numCache>
                <c:formatCode>General</c:formatCode>
                <c:ptCount val="9"/>
                <c:pt idx="0">
                  <c:v>6.76614366618427E-005</c:v>
                </c:pt>
                <c:pt idx="1">
                  <c:v>0.00110466078375752</c:v>
                </c:pt>
                <c:pt idx="2">
                  <c:v>0.000424283345816899</c:v>
                </c:pt>
                <c:pt idx="3">
                  <c:v>0.000138407568130478</c:v>
                </c:pt>
                <c:pt idx="4">
                  <c:v>3.25775397222957E-005</c:v>
                </c:pt>
                <c:pt idx="5">
                  <c:v>0.000112634881914266</c:v>
                </c:pt>
                <c:pt idx="6">
                  <c:v>0.000149958160846312</c:v>
                </c:pt>
                <c:pt idx="7">
                  <c:v>6.79130756777925E-005</c:v>
                </c:pt>
                <c:pt idx="8">
                  <c:v>6.76646006675085E-005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'Eigenvector Angle'!N1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Angle'!$N$2:$N$10</c:f>
              <c:numCache>
                <c:formatCode>General</c:formatCode>
                <c:ptCount val="9"/>
                <c:pt idx="0">
                  <c:v>0.000155702129732042</c:v>
                </c:pt>
                <c:pt idx="1">
                  <c:v>0.000127897093847339</c:v>
                </c:pt>
                <c:pt idx="2">
                  <c:v>8.72291216103966E-005</c:v>
                </c:pt>
                <c:pt idx="3">
                  <c:v>5.42011360584014E-005</c:v>
                </c:pt>
                <c:pt idx="4">
                  <c:v>2.06987515673419E-005</c:v>
                </c:pt>
                <c:pt idx="5">
                  <c:v>5.42072769328601E-005</c:v>
                </c:pt>
                <c:pt idx="6">
                  <c:v>8.72405910934526E-005</c:v>
                </c:pt>
                <c:pt idx="7">
                  <c:v>0.000127919096325376</c:v>
                </c:pt>
                <c:pt idx="8">
                  <c:v>0.000155702139659472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'Eigenvector Angle'!O1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Angle'!$O$2:$O$10</c:f>
              <c:numCache>
                <c:formatCode>General</c:formatCode>
                <c:ptCount val="9"/>
                <c:pt idx="0">
                  <c:v>4.29414820768609E-005</c:v>
                </c:pt>
                <c:pt idx="1">
                  <c:v>2.82712569342967E-005</c:v>
                </c:pt>
                <c:pt idx="2">
                  <c:v>2.51893634684832E-005</c:v>
                </c:pt>
                <c:pt idx="3">
                  <c:v>2.27748013560828E-005</c:v>
                </c:pt>
                <c:pt idx="4">
                  <c:v>2.06728580411332E-005</c:v>
                </c:pt>
                <c:pt idx="5">
                  <c:v>2.27537228064627E-005</c:v>
                </c:pt>
                <c:pt idx="6">
                  <c:v>2.51806530153185E-005</c:v>
                </c:pt>
                <c:pt idx="7">
                  <c:v>2.83025765640634E-005</c:v>
                </c:pt>
                <c:pt idx="8">
                  <c:v>4.29414823547018E-005</c:v>
                </c:pt>
              </c:numCache>
            </c:numRef>
          </c:yVal>
          <c:smooth val="0"/>
        </c:ser>
        <c:axId val="28526451"/>
        <c:axId val="37928292"/>
      </c:scatterChart>
      <c:valAx>
        <c:axId val="2852645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rad24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928292"/>
        <c:crosses val="autoZero"/>
        <c:crossBetween val="midCat"/>
      </c:valAx>
      <c:valAx>
        <c:axId val="37928292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52645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0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1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2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3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4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5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20</v>
      </c>
      <c r="B2" s="0" t="n">
        <v>20</v>
      </c>
      <c r="C2" s="0" t="n">
        <v>3</v>
      </c>
      <c r="D2" s="0" t="n">
        <v>100</v>
      </c>
      <c r="E2" s="0" t="n">
        <v>10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0.000220958736972477</v>
      </c>
      <c r="L2" s="0" t="n">
        <v>0.000173559102196692</v>
      </c>
      <c r="M2" s="0" t="n">
        <v>0.00872193147326266</v>
      </c>
      <c r="N2" s="0" t="n">
        <v>0.000339089648124853</v>
      </c>
      <c r="O2" s="0" t="n">
        <v>0.000142297090321607</v>
      </c>
      <c r="P2" s="0" t="s">
        <v>17</v>
      </c>
      <c r="Q2" s="0" t="n">
        <v>20</v>
      </c>
    </row>
    <row r="3" customFormat="false" ht="14.25" hidden="false" customHeight="false" outlineLevel="0" collapsed="false">
      <c r="A3" s="0" t="n">
        <v>30</v>
      </c>
      <c r="B3" s="0" t="n">
        <v>30</v>
      </c>
      <c r="C3" s="0" t="n">
        <v>3</v>
      </c>
      <c r="D3" s="0" t="n">
        <v>100</v>
      </c>
      <c r="E3" s="0" t="n">
        <v>10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0.00434495527934028</v>
      </c>
      <c r="L3" s="0" t="n">
        <v>0.00257780029705991</v>
      </c>
      <c r="M3" s="0" t="n">
        <v>0.00812978795056421</v>
      </c>
      <c r="N3" s="0" t="n">
        <v>3.21451159159509E-005</v>
      </c>
      <c r="O3" s="0" t="n">
        <v>8.32342698657939E-006</v>
      </c>
      <c r="P3" s="0" t="s">
        <v>17</v>
      </c>
      <c r="Q3" s="0" t="n">
        <v>30</v>
      </c>
    </row>
    <row r="4" customFormat="false" ht="14.25" hidden="false" customHeight="false" outlineLevel="0" collapsed="false">
      <c r="A4" s="0" t="n">
        <v>50</v>
      </c>
      <c r="B4" s="0" t="n">
        <v>50</v>
      </c>
      <c r="C4" s="0" t="n">
        <v>3</v>
      </c>
      <c r="D4" s="0" t="n">
        <v>100</v>
      </c>
      <c r="E4" s="0" t="n">
        <v>10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1.78999867779258E-005</v>
      </c>
      <c r="L4" s="0" t="n">
        <v>9.62278796575867E-006</v>
      </c>
      <c r="M4" s="0" t="n">
        <v>1.51966854200984E-005</v>
      </c>
      <c r="N4" s="0" t="n">
        <v>6.31093531399965E-006</v>
      </c>
      <c r="O4" s="0" t="n">
        <v>6.38507867116509E-006</v>
      </c>
      <c r="P4" s="0" t="s">
        <v>17</v>
      </c>
      <c r="Q4" s="0" t="n">
        <v>50</v>
      </c>
    </row>
    <row r="5" customFormat="false" ht="14.25" hidden="false" customHeight="false" outlineLevel="0" collapsed="false">
      <c r="A5" s="0" t="n">
        <v>75</v>
      </c>
      <c r="B5" s="0" t="n">
        <v>75</v>
      </c>
      <c r="C5" s="0" t="n">
        <v>3</v>
      </c>
      <c r="D5" s="0" t="n">
        <v>100</v>
      </c>
      <c r="E5" s="0" t="n">
        <v>10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7.33968037604105E-006</v>
      </c>
      <c r="L5" s="0" t="n">
        <v>3.86190658262552E-006</v>
      </c>
      <c r="M5" s="0" t="n">
        <v>6.71041636713261E-006</v>
      </c>
      <c r="N5" s="0" t="n">
        <v>6.86447991026774E-006</v>
      </c>
      <c r="O5" s="0" t="n">
        <v>2.36456859654325E-006</v>
      </c>
      <c r="P5" s="0" t="s">
        <v>17</v>
      </c>
      <c r="Q5" s="0" t="n">
        <v>75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3</v>
      </c>
      <c r="D6" s="0" t="n">
        <v>100</v>
      </c>
      <c r="E6" s="0" t="n">
        <v>10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5.66346292944356E-005</v>
      </c>
      <c r="L6" s="0" t="n">
        <v>3.05035300712377E-005</v>
      </c>
      <c r="M6" s="0" t="n">
        <v>3.25775397222957E-005</v>
      </c>
      <c r="N6" s="0" t="n">
        <v>2.06987515673419E-005</v>
      </c>
      <c r="O6" s="0" t="n">
        <v>2.06728580411332E-005</v>
      </c>
      <c r="P6" s="0" t="s">
        <v>17</v>
      </c>
      <c r="Q6" s="0" t="n">
        <v>100</v>
      </c>
    </row>
    <row r="7" customFormat="false" ht="14.25" hidden="false" customHeight="false" outlineLevel="0" collapsed="false">
      <c r="A7" s="0" t="n">
        <v>125</v>
      </c>
      <c r="B7" s="0" t="n">
        <v>125</v>
      </c>
      <c r="C7" s="0" t="n">
        <v>3</v>
      </c>
      <c r="D7" s="0" t="n">
        <v>100</v>
      </c>
      <c r="E7" s="0" t="n">
        <v>10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0.000196316036690003</v>
      </c>
      <c r="L7" s="0" t="n">
        <v>7.88683255255007E-005</v>
      </c>
      <c r="M7" s="0" t="n">
        <v>9.04943466269921E-005</v>
      </c>
      <c r="N7" s="0" t="n">
        <v>4.27709047446299E-005</v>
      </c>
      <c r="O7" s="0" t="n">
        <v>8.58401810353026E-006</v>
      </c>
      <c r="P7" s="0" t="s">
        <v>17</v>
      </c>
      <c r="Q7" s="0" t="n">
        <v>125</v>
      </c>
    </row>
    <row r="8" customFormat="false" ht="14.25" hidden="false" customHeight="false" outlineLevel="0" collapsed="false">
      <c r="A8" s="0" t="n">
        <v>150</v>
      </c>
      <c r="B8" s="0" t="n">
        <v>150</v>
      </c>
      <c r="C8" s="0" t="n">
        <v>3</v>
      </c>
      <c r="D8" s="0" t="n">
        <v>100</v>
      </c>
      <c r="E8" s="0" t="n">
        <v>10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0.000719268024285254</v>
      </c>
      <c r="L8" s="0" t="n">
        <v>0.000317290694691705</v>
      </c>
      <c r="M8" s="0" t="n">
        <v>0.000229592138822987</v>
      </c>
      <c r="N8" s="0" t="n">
        <v>0.000135043918072068</v>
      </c>
      <c r="O8" s="0" t="n">
        <v>3.21111693899594E-005</v>
      </c>
      <c r="P8" s="0" t="s">
        <v>17</v>
      </c>
      <c r="Q8" s="0" t="n">
        <v>150</v>
      </c>
    </row>
    <row r="9" customFormat="false" ht="14.25" hidden="false" customHeight="false" outlineLevel="0" collapsed="false">
      <c r="A9" s="0" t="n">
        <v>175</v>
      </c>
      <c r="B9" s="0" t="n">
        <v>175</v>
      </c>
      <c r="C9" s="0" t="n">
        <v>3</v>
      </c>
      <c r="D9" s="0" t="n">
        <v>100</v>
      </c>
      <c r="E9" s="0" t="n">
        <v>10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0.00251476404935576</v>
      </c>
      <c r="L9" s="0" t="n">
        <v>0.00107934549908306</v>
      </c>
      <c r="M9" s="0" t="n">
        <v>0.000889408803482151</v>
      </c>
      <c r="N9" s="0" t="n">
        <v>8.49881635503226E-005</v>
      </c>
      <c r="O9" s="0" t="n">
        <v>1.9644530352418E-005</v>
      </c>
      <c r="P9" s="0" t="s">
        <v>17</v>
      </c>
      <c r="Q9" s="0" t="n">
        <v>175</v>
      </c>
    </row>
    <row r="10" customFormat="false" ht="14.25" hidden="false" customHeight="false" outlineLevel="0" collapsed="false">
      <c r="A10" s="0" t="n">
        <v>200</v>
      </c>
      <c r="B10" s="0" t="n">
        <v>200</v>
      </c>
      <c r="C10" s="0" t="n">
        <v>3</v>
      </c>
      <c r="D10" s="0" t="n">
        <v>100</v>
      </c>
      <c r="E10" s="0" t="n">
        <v>10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0.000483670698563257</v>
      </c>
      <c r="L10" s="0" t="n">
        <v>0.000163929584955989</v>
      </c>
      <c r="M10" s="0" t="n">
        <v>0.000136731357318024</v>
      </c>
      <c r="N10" s="0" t="n">
        <v>6.1390987260391E-005</v>
      </c>
      <c r="O10" s="0" t="n">
        <v>1.50680335279181E-005</v>
      </c>
      <c r="P10" s="0" t="s">
        <v>17</v>
      </c>
      <c r="Q10" s="0" t="n">
        <v>200</v>
      </c>
    </row>
    <row r="11" customFormat="false" ht="14.25" hidden="false" customHeight="false" outlineLevel="0" collapsed="false">
      <c r="A11" s="0" t="n">
        <v>250</v>
      </c>
      <c r="B11" s="0" t="n">
        <v>250</v>
      </c>
      <c r="C11" s="0" t="n">
        <v>3</v>
      </c>
      <c r="D11" s="0" t="n">
        <v>100</v>
      </c>
      <c r="E11" s="0" t="n">
        <v>10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0.0010035578023109</v>
      </c>
      <c r="L11" s="0" t="n">
        <v>0.000414881984742893</v>
      </c>
      <c r="M11" s="0" t="n">
        <v>0.000348566611457734</v>
      </c>
      <c r="N11" s="0" t="n">
        <v>3.37675224660857E-005</v>
      </c>
      <c r="O11" s="0" t="n">
        <v>7.87369322547168E-006</v>
      </c>
      <c r="P11" s="0" t="s">
        <v>17</v>
      </c>
      <c r="Q11" s="0" t="n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100</v>
      </c>
      <c r="B2" s="0" t="n">
        <v>100</v>
      </c>
      <c r="C2" s="0" t="n">
        <v>0.05</v>
      </c>
      <c r="D2" s="0" t="n">
        <v>100</v>
      </c>
      <c r="E2" s="0" t="n">
        <v>10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34120.3180681457</v>
      </c>
      <c r="L2" s="0" t="n">
        <v>14519.5159001426</v>
      </c>
      <c r="M2" s="0" t="n">
        <v>2636.57040694038</v>
      </c>
      <c r="N2" s="0" t="n">
        <v>0.221596997038846</v>
      </c>
      <c r="O2" s="0" t="n">
        <v>0.0592227824490918</v>
      </c>
      <c r="P2" s="0" t="s">
        <v>18</v>
      </c>
      <c r="Q2" s="0" t="n">
        <v>0.05</v>
      </c>
    </row>
    <row r="3" customFormat="false" ht="14.25" hidden="false" customHeight="false" outlineLevel="0" collapsed="false">
      <c r="A3" s="0" t="n">
        <v>100</v>
      </c>
      <c r="B3" s="0" t="n">
        <v>100</v>
      </c>
      <c r="C3" s="0" t="n">
        <v>0.1</v>
      </c>
      <c r="D3" s="0" t="n">
        <v>100</v>
      </c>
      <c r="E3" s="0" t="n">
        <v>10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369870.119584499</v>
      </c>
      <c r="L3" s="0" t="n">
        <v>152824.496971002</v>
      </c>
      <c r="M3" s="0" t="n">
        <v>27512.6660434387</v>
      </c>
      <c r="N3" s="0" t="n">
        <v>0.22151462130349</v>
      </c>
      <c r="O3" s="0" t="n">
        <v>0.0591977403234529</v>
      </c>
      <c r="P3" s="0" t="s">
        <v>18</v>
      </c>
      <c r="Q3" s="0" t="n">
        <v>0.1</v>
      </c>
    </row>
    <row r="4" customFormat="false" ht="14.25" hidden="false" customHeight="false" outlineLevel="0" collapsed="false">
      <c r="A4" s="0" t="n">
        <v>100</v>
      </c>
      <c r="B4" s="0" t="n">
        <v>100</v>
      </c>
      <c r="C4" s="0" t="n">
        <v>0.5</v>
      </c>
      <c r="D4" s="0" t="n">
        <v>100</v>
      </c>
      <c r="E4" s="0" t="n">
        <v>10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0.411369253146511</v>
      </c>
      <c r="L4" s="0" t="n">
        <v>0.158759105762284</v>
      </c>
      <c r="M4" s="0" t="n">
        <v>0.0827577205303426</v>
      </c>
      <c r="N4" s="0" t="n">
        <v>0.0190555674709825</v>
      </c>
      <c r="O4" s="0" t="n">
        <v>0.0180609186513663</v>
      </c>
      <c r="P4" s="0" t="s">
        <v>18</v>
      </c>
      <c r="Q4" s="0" t="n">
        <v>0.5</v>
      </c>
    </row>
    <row r="5" customFormat="false" ht="14.25" hidden="false" customHeight="false" outlineLevel="0" collapsed="false">
      <c r="A5" s="0" t="n">
        <v>100</v>
      </c>
      <c r="B5" s="0" t="n">
        <v>100</v>
      </c>
      <c r="C5" s="0" t="n">
        <v>1</v>
      </c>
      <c r="D5" s="0" t="n">
        <v>100</v>
      </c>
      <c r="E5" s="0" t="n">
        <v>10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0.0221458103761089</v>
      </c>
      <c r="L5" s="0" t="n">
        <v>0.00839394749884641</v>
      </c>
      <c r="M5" s="0" t="n">
        <v>0.00404504749804549</v>
      </c>
      <c r="N5" s="0" t="n">
        <v>0.000908409691600537</v>
      </c>
      <c r="O5" s="0" t="n">
        <v>0.000296762811523413</v>
      </c>
      <c r="P5" s="0" t="s">
        <v>18</v>
      </c>
      <c r="Q5" s="0" t="n">
        <v>1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2</v>
      </c>
      <c r="D6" s="0" t="n">
        <v>100</v>
      </c>
      <c r="E6" s="0" t="n">
        <v>10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0.00306251255606351</v>
      </c>
      <c r="L6" s="0" t="n">
        <v>0.00123066286809607</v>
      </c>
      <c r="M6" s="0" t="n">
        <v>0.000621411493843901</v>
      </c>
      <c r="N6" s="0" t="n">
        <v>0.000214956682292626</v>
      </c>
      <c r="O6" s="0" t="n">
        <v>6.56942353728161E-005</v>
      </c>
      <c r="P6" s="0" t="s">
        <v>18</v>
      </c>
      <c r="Q6" s="0" t="n">
        <v>2</v>
      </c>
    </row>
    <row r="7" customFormat="false" ht="14.25" hidden="false" customHeight="false" outlineLevel="0" collapsed="false">
      <c r="A7" s="0" t="n">
        <v>100</v>
      </c>
      <c r="B7" s="0" t="n">
        <v>100</v>
      </c>
      <c r="C7" s="0" t="n">
        <v>2.5</v>
      </c>
      <c r="D7" s="0" t="n">
        <v>100</v>
      </c>
      <c r="E7" s="0" t="n">
        <v>10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0.000724459192678251</v>
      </c>
      <c r="L7" s="0" t="n">
        <v>0.000316440658889042</v>
      </c>
      <c r="M7" s="0" t="n">
        <v>0.000350354084025479</v>
      </c>
      <c r="N7" s="0" t="n">
        <v>2.53678879544926E-005</v>
      </c>
      <c r="O7" s="0" t="n">
        <v>2.02316452044038E-005</v>
      </c>
      <c r="P7" s="0" t="s">
        <v>18</v>
      </c>
      <c r="Q7" s="0" t="n">
        <v>2.5</v>
      </c>
    </row>
    <row r="8" customFormat="false" ht="14.25" hidden="false" customHeight="false" outlineLevel="0" collapsed="false">
      <c r="A8" s="0" t="n">
        <v>100</v>
      </c>
      <c r="B8" s="0" t="n">
        <v>100</v>
      </c>
      <c r="C8" s="0" t="n">
        <v>3</v>
      </c>
      <c r="D8" s="0" t="n">
        <v>100</v>
      </c>
      <c r="E8" s="0" t="n">
        <v>10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5.66346292944356E-005</v>
      </c>
      <c r="L8" s="0" t="n">
        <v>3.05035300712377E-005</v>
      </c>
      <c r="M8" s="0" t="n">
        <v>3.25775397222957E-005</v>
      </c>
      <c r="N8" s="0" t="n">
        <v>2.06987515673419E-005</v>
      </c>
      <c r="O8" s="0" t="n">
        <v>2.06728580411332E-005</v>
      </c>
      <c r="P8" s="0" t="s">
        <v>18</v>
      </c>
      <c r="Q8" s="0" t="n">
        <v>3</v>
      </c>
    </row>
    <row r="9" customFormat="false" ht="14.25" hidden="false" customHeight="false" outlineLevel="0" collapsed="false">
      <c r="A9" s="0" t="n">
        <v>100</v>
      </c>
      <c r="B9" s="0" t="n">
        <v>100</v>
      </c>
      <c r="C9" s="0" t="n">
        <v>3.5</v>
      </c>
      <c r="D9" s="0" t="n">
        <v>100</v>
      </c>
      <c r="E9" s="0" t="n">
        <v>10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0.000404005228379177</v>
      </c>
      <c r="L9" s="0" t="n">
        <v>0.000195794682051131</v>
      </c>
      <c r="M9" s="0" t="n">
        <v>0.000161557808833205</v>
      </c>
      <c r="N9" s="0" t="n">
        <v>8.39227379627231E-006</v>
      </c>
      <c r="O9" s="0" t="n">
        <v>8.55430319398051E-006</v>
      </c>
      <c r="P9" s="0" t="s">
        <v>18</v>
      </c>
      <c r="Q9" s="0" t="n">
        <v>3.5</v>
      </c>
    </row>
    <row r="10" customFormat="false" ht="14.2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100</v>
      </c>
      <c r="E10" s="0" t="n">
        <v>10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5.29426670428861E-005</v>
      </c>
      <c r="L10" s="0" t="n">
        <v>2.53941967627898E-005</v>
      </c>
      <c r="M10" s="0" t="n">
        <v>3.54161853064291E-005</v>
      </c>
      <c r="N10" s="0" t="n">
        <v>6.34692288500692E-006</v>
      </c>
      <c r="O10" s="0" t="n">
        <v>2.70170465603267E-006</v>
      </c>
      <c r="P10" s="0" t="s">
        <v>18</v>
      </c>
      <c r="Q10" s="0" t="n">
        <v>4</v>
      </c>
    </row>
    <row r="11" customFormat="false" ht="14.25" hidden="false" customHeight="false" outlineLevel="0" collapsed="false">
      <c r="A11" s="0" t="n">
        <v>100</v>
      </c>
      <c r="B11" s="0" t="n">
        <v>100</v>
      </c>
      <c r="C11" s="0" t="n">
        <v>5</v>
      </c>
      <c r="D11" s="0" t="n">
        <v>100</v>
      </c>
      <c r="E11" s="0" t="n">
        <v>10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0.000255690793867696</v>
      </c>
      <c r="L11" s="0" t="n">
        <v>0.000111623252451954</v>
      </c>
      <c r="M11" s="0" t="n">
        <v>0.000246121125294942</v>
      </c>
      <c r="N11" s="0" t="n">
        <v>2.27418275335586E-005</v>
      </c>
      <c r="O11" s="0" t="n">
        <v>6.58432665284195E-006</v>
      </c>
      <c r="P11" s="0" t="s">
        <v>18</v>
      </c>
      <c r="Q11" s="0" t="n">
        <v>5</v>
      </c>
    </row>
    <row r="12" customFormat="false" ht="14.25" hidden="false" customHeight="false" outlineLevel="0" collapsed="false">
      <c r="A12" s="0" t="n">
        <v>100</v>
      </c>
      <c r="B12" s="0" t="n">
        <v>100</v>
      </c>
      <c r="C12" s="0" t="n">
        <v>7.5</v>
      </c>
      <c r="D12" s="0" t="n">
        <v>100</v>
      </c>
      <c r="E12" s="0" t="n">
        <v>10</v>
      </c>
      <c r="F12" s="0" t="n">
        <v>1</v>
      </c>
      <c r="G12" s="0" t="n">
        <v>0.005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0.000166233620365647</v>
      </c>
      <c r="L12" s="0" t="n">
        <v>9.44090897712404E-005</v>
      </c>
      <c r="M12" s="0" t="n">
        <v>0.000332532168652067</v>
      </c>
      <c r="N12" s="0" t="n">
        <v>4.36889790046711E-005</v>
      </c>
      <c r="O12" s="0" t="n">
        <v>4.34995932927054E-005</v>
      </c>
      <c r="P12" s="0" t="s">
        <v>18</v>
      </c>
      <c r="Q12" s="0" t="n">
        <v>7.5</v>
      </c>
    </row>
    <row r="13" customFormat="false" ht="14.25" hidden="false" customHeight="false" outlineLevel="0" collapsed="false">
      <c r="A13" s="0" t="n">
        <v>100</v>
      </c>
      <c r="B13" s="0" t="n">
        <v>100</v>
      </c>
      <c r="C13" s="0" t="n">
        <v>10</v>
      </c>
      <c r="D13" s="0" t="n">
        <v>100</v>
      </c>
      <c r="E13" s="0" t="n">
        <v>10</v>
      </c>
      <c r="F13" s="0" t="n">
        <v>1</v>
      </c>
      <c r="G13" s="0" t="n">
        <v>0.005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0.00017679580878886</v>
      </c>
      <c r="L13" s="0" t="n">
        <v>7.9969386485324E-005</v>
      </c>
      <c r="M13" s="0" t="n">
        <v>0.000502265557349992</v>
      </c>
      <c r="N13" s="0" t="n">
        <v>5.38124191556669E-005</v>
      </c>
      <c r="O13" s="0" t="n">
        <v>1.2126912843346E-005</v>
      </c>
      <c r="P13" s="0" t="s">
        <v>18</v>
      </c>
      <c r="Q13" s="0" t="n">
        <v>10</v>
      </c>
    </row>
    <row r="14" customFormat="false" ht="14.25" hidden="false" customHeight="false" outlineLevel="0" collapsed="false">
      <c r="A14" s="0" t="n">
        <v>100</v>
      </c>
      <c r="B14" s="0" t="n">
        <v>100</v>
      </c>
      <c r="C14" s="0" t="n">
        <v>15</v>
      </c>
      <c r="D14" s="0" t="n">
        <v>100</v>
      </c>
      <c r="E14" s="0" t="n">
        <v>10</v>
      </c>
      <c r="F14" s="0" t="n">
        <v>1</v>
      </c>
      <c r="G14" s="0" t="n">
        <v>0.005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0.000465095792282851</v>
      </c>
      <c r="L14" s="0" t="n">
        <v>0.000131273974704007</v>
      </c>
      <c r="M14" s="0" t="n">
        <v>0.0225679784908187</v>
      </c>
      <c r="N14" s="0" t="n">
        <v>0.017046217594999</v>
      </c>
      <c r="O14" s="0" t="n">
        <v>0.00107304695930343</v>
      </c>
      <c r="P14" s="0" t="s">
        <v>18</v>
      </c>
      <c r="Q14" s="0" t="n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100</v>
      </c>
      <c r="B2" s="0" t="n">
        <v>100</v>
      </c>
      <c r="C2" s="0" t="n">
        <v>3</v>
      </c>
      <c r="D2" s="0" t="n">
        <v>15</v>
      </c>
      <c r="E2" s="0" t="n">
        <v>10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0.000762789991507654</v>
      </c>
      <c r="L2" s="0" t="n">
        <v>0.000184172275961425</v>
      </c>
      <c r="M2" s="0" t="n">
        <v>0.000155865321174551</v>
      </c>
      <c r="N2" s="0" t="n">
        <v>2.13718070086074E-005</v>
      </c>
      <c r="O2" s="0" t="n">
        <v>1.29226270533992E-005</v>
      </c>
      <c r="P2" s="0" t="s">
        <v>3</v>
      </c>
      <c r="Q2" s="0" t="n">
        <v>15</v>
      </c>
    </row>
    <row r="3" customFormat="false" ht="14.25" hidden="false" customHeight="false" outlineLevel="0" collapsed="false">
      <c r="A3" s="0" t="n">
        <v>100</v>
      </c>
      <c r="B3" s="0" t="n">
        <v>100</v>
      </c>
      <c r="C3" s="0" t="n">
        <v>3</v>
      </c>
      <c r="D3" s="0" t="n">
        <v>25</v>
      </c>
      <c r="E3" s="0" t="n">
        <v>10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9.90032924792802E-005</v>
      </c>
      <c r="L3" s="0" t="n">
        <v>2.86929648980339E-005</v>
      </c>
      <c r="M3" s="0" t="n">
        <v>9.72167708794466E-005</v>
      </c>
      <c r="N3" s="0" t="n">
        <v>5.11192972186164E-005</v>
      </c>
      <c r="O3" s="0" t="n">
        <v>1.04901068799044E-005</v>
      </c>
      <c r="P3" s="0" t="s">
        <v>3</v>
      </c>
      <c r="Q3" s="0" t="n">
        <v>25</v>
      </c>
    </row>
    <row r="4" customFormat="false" ht="14.25" hidden="false" customHeight="false" outlineLevel="0" collapsed="false">
      <c r="A4" s="0" t="n">
        <v>100</v>
      </c>
      <c r="B4" s="0" t="n">
        <v>100</v>
      </c>
      <c r="C4" s="0" t="n">
        <v>3</v>
      </c>
      <c r="D4" s="0" t="n">
        <v>40</v>
      </c>
      <c r="E4" s="0" t="n">
        <v>10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0.00230321905672094</v>
      </c>
      <c r="L4" s="0" t="n">
        <v>0.00102558351149157</v>
      </c>
      <c r="M4" s="0" t="n">
        <v>0.000664656417118592</v>
      </c>
      <c r="N4" s="0" t="n">
        <v>9.684914977578E-005</v>
      </c>
      <c r="O4" s="0" t="n">
        <v>2.75740981660415E-005</v>
      </c>
      <c r="P4" s="0" t="s">
        <v>3</v>
      </c>
      <c r="Q4" s="0" t="n">
        <v>40</v>
      </c>
    </row>
    <row r="5" customFormat="false" ht="14.25" hidden="false" customHeight="false" outlineLevel="0" collapsed="false">
      <c r="A5" s="0" t="n">
        <v>100</v>
      </c>
      <c r="B5" s="0" t="n">
        <v>100</v>
      </c>
      <c r="C5" s="0" t="n">
        <v>3</v>
      </c>
      <c r="D5" s="0" t="n">
        <v>50</v>
      </c>
      <c r="E5" s="0" t="n">
        <v>10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0.000768785544942772</v>
      </c>
      <c r="L5" s="0" t="n">
        <v>0.000267781503650438</v>
      </c>
      <c r="M5" s="0" t="n">
        <v>0.000584394961626701</v>
      </c>
      <c r="N5" s="0" t="n">
        <v>0.000136604919249104</v>
      </c>
      <c r="O5" s="0" t="n">
        <v>2.85849580206485E-005</v>
      </c>
      <c r="P5" s="0" t="s">
        <v>3</v>
      </c>
      <c r="Q5" s="0" t="n">
        <v>50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3</v>
      </c>
      <c r="D6" s="0" t="n">
        <v>65</v>
      </c>
      <c r="E6" s="0" t="n">
        <v>10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7.26173096310334E-005</v>
      </c>
      <c r="L6" s="0" t="n">
        <v>2.6496000558122E-005</v>
      </c>
      <c r="M6" s="0" t="n">
        <v>2.6265778818675E-005</v>
      </c>
      <c r="N6" s="0" t="n">
        <v>2.03313511226106E-005</v>
      </c>
      <c r="O6" s="0" t="n">
        <v>8.31656035391638E-006</v>
      </c>
      <c r="P6" s="0" t="s">
        <v>3</v>
      </c>
      <c r="Q6" s="0" t="n">
        <v>65</v>
      </c>
    </row>
    <row r="7" customFormat="false" ht="14.25" hidden="false" customHeight="false" outlineLevel="0" collapsed="false">
      <c r="A7" s="0" t="n">
        <v>100</v>
      </c>
      <c r="B7" s="0" t="n">
        <v>100</v>
      </c>
      <c r="C7" s="0" t="n">
        <v>3</v>
      </c>
      <c r="D7" s="0" t="n">
        <v>75</v>
      </c>
      <c r="E7" s="0" t="n">
        <v>10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0.000353043017440319</v>
      </c>
      <c r="L7" s="0" t="n">
        <v>0.00016850214355391</v>
      </c>
      <c r="M7" s="0" t="n">
        <v>0.000121591528292061</v>
      </c>
      <c r="N7" s="0" t="n">
        <v>3.59534036904405E-005</v>
      </c>
      <c r="O7" s="0" t="n">
        <v>1.19544071006366E-005</v>
      </c>
      <c r="P7" s="0" t="s">
        <v>3</v>
      </c>
      <c r="Q7" s="0" t="n">
        <v>75</v>
      </c>
    </row>
    <row r="8" customFormat="false" ht="14.25" hidden="false" customHeight="false" outlineLevel="0" collapsed="false">
      <c r="A8" s="0" t="n">
        <v>100</v>
      </c>
      <c r="B8" s="0" t="n">
        <v>100</v>
      </c>
      <c r="C8" s="0" t="n">
        <v>3</v>
      </c>
      <c r="D8" s="0" t="n">
        <v>85</v>
      </c>
      <c r="E8" s="0" t="n">
        <v>10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0.0104847469834172</v>
      </c>
      <c r="L8" s="0" t="n">
        <v>0.00312803958978353</v>
      </c>
      <c r="M8" s="0" t="n">
        <v>0.00256195563944385</v>
      </c>
      <c r="N8" s="0" t="n">
        <v>1.98061599401699E-005</v>
      </c>
      <c r="O8" s="0" t="n">
        <v>1.89301763785535E-005</v>
      </c>
      <c r="P8" s="0" t="s">
        <v>3</v>
      </c>
      <c r="Q8" s="0" t="n">
        <v>85</v>
      </c>
    </row>
    <row r="9" customFormat="false" ht="14.25" hidden="false" customHeight="false" outlineLevel="0" collapsed="false">
      <c r="A9" s="0" t="n">
        <v>100</v>
      </c>
      <c r="B9" s="0" t="n">
        <v>100</v>
      </c>
      <c r="C9" s="0" t="n">
        <v>3</v>
      </c>
      <c r="D9" s="0" t="n">
        <v>100</v>
      </c>
      <c r="E9" s="0" t="n">
        <v>10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5.66346292944356E-005</v>
      </c>
      <c r="L9" s="0" t="n">
        <v>3.05035300712377E-005</v>
      </c>
      <c r="M9" s="0" t="n">
        <v>3.25775397222957E-005</v>
      </c>
      <c r="N9" s="0" t="n">
        <v>2.06987515673419E-005</v>
      </c>
      <c r="O9" s="0" t="n">
        <v>2.06728580411332E-005</v>
      </c>
      <c r="P9" s="0" t="s">
        <v>3</v>
      </c>
      <c r="Q9" s="0" t="n">
        <v>100</v>
      </c>
    </row>
    <row r="10" customFormat="false" ht="14.25" hidden="false" customHeight="false" outlineLevel="0" collapsed="false">
      <c r="A10" s="0" t="n">
        <v>100</v>
      </c>
      <c r="B10" s="0" t="n">
        <v>100</v>
      </c>
      <c r="C10" s="0" t="n">
        <v>3</v>
      </c>
      <c r="D10" s="0" t="n">
        <v>115</v>
      </c>
      <c r="E10" s="0" t="n">
        <v>10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9.10460598618483E-005</v>
      </c>
      <c r="L10" s="0" t="n">
        <v>4.78900895143479E-005</v>
      </c>
      <c r="M10" s="0" t="n">
        <v>4.54224597977272E-005</v>
      </c>
      <c r="N10" s="0" t="n">
        <v>3.63740111801371E-005</v>
      </c>
      <c r="O10" s="0" t="n">
        <v>3.48148365287503E-005</v>
      </c>
      <c r="P10" s="0" t="s">
        <v>3</v>
      </c>
      <c r="Q10" s="0" t="n">
        <v>115</v>
      </c>
    </row>
    <row r="11" customFormat="false" ht="14.25" hidden="false" customHeight="false" outlineLevel="0" collapsed="false">
      <c r="A11" s="0" t="n">
        <v>100</v>
      </c>
      <c r="B11" s="0" t="n">
        <v>100</v>
      </c>
      <c r="C11" s="0" t="n">
        <v>3</v>
      </c>
      <c r="D11" s="0" t="n">
        <v>130</v>
      </c>
      <c r="E11" s="0" t="n">
        <v>10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0.000876449881439267</v>
      </c>
      <c r="L11" s="0" t="n">
        <v>0.000426923358301169</v>
      </c>
      <c r="M11" s="0" t="n">
        <v>0.00031775639702364</v>
      </c>
      <c r="N11" s="0" t="n">
        <v>4.34971354179717E-005</v>
      </c>
      <c r="O11" s="0" t="n">
        <v>4.31358310865967E-005</v>
      </c>
      <c r="P11" s="0" t="s">
        <v>3</v>
      </c>
      <c r="Q11" s="0" t="n">
        <v>130</v>
      </c>
    </row>
    <row r="12" customFormat="false" ht="14.25" hidden="false" customHeight="false" outlineLevel="0" collapsed="false">
      <c r="A12" s="0" t="n">
        <v>100</v>
      </c>
      <c r="B12" s="0" t="n">
        <v>100</v>
      </c>
      <c r="C12" s="0" t="n">
        <v>3</v>
      </c>
      <c r="D12" s="0" t="n">
        <v>150</v>
      </c>
      <c r="E12" s="0" t="n">
        <v>10</v>
      </c>
      <c r="F12" s="0" t="n">
        <v>1</v>
      </c>
      <c r="G12" s="0" t="n">
        <v>0.005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0.00110728341752999</v>
      </c>
      <c r="L12" s="0" t="n">
        <v>0.000392964580856778</v>
      </c>
      <c r="M12" s="0" t="n">
        <v>0.000222276048363599</v>
      </c>
      <c r="N12" s="0" t="n">
        <v>2.31430113826875E-005</v>
      </c>
      <c r="O12" s="0" t="n">
        <v>1.5648720608694E-005</v>
      </c>
      <c r="P12" s="0" t="s">
        <v>3</v>
      </c>
      <c r="Q12" s="0" t="n">
        <v>150</v>
      </c>
    </row>
    <row r="13" customFormat="false" ht="14.25" hidden="false" customHeight="false" outlineLevel="0" collapsed="false">
      <c r="A13" s="0" t="n">
        <v>100</v>
      </c>
      <c r="B13" s="0" t="n">
        <v>100</v>
      </c>
      <c r="C13" s="0" t="n">
        <v>3</v>
      </c>
      <c r="D13" s="0" t="n">
        <v>200</v>
      </c>
      <c r="E13" s="0" t="n">
        <v>10</v>
      </c>
      <c r="F13" s="0" t="n">
        <v>1</v>
      </c>
      <c r="G13" s="0" t="n">
        <v>0.005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0.000122016553690969</v>
      </c>
      <c r="L13" s="0" t="n">
        <v>5.54648612374083E-005</v>
      </c>
      <c r="M13" s="0" t="n">
        <v>3.01065083198709E-005</v>
      </c>
      <c r="N13" s="0" t="n">
        <v>1.08878353758814E-005</v>
      </c>
      <c r="O13" s="0" t="n">
        <v>3.49980909748219E-006</v>
      </c>
      <c r="P13" s="0" t="s">
        <v>3</v>
      </c>
      <c r="Q13" s="0" t="n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100</v>
      </c>
      <c r="B2" s="0" t="n">
        <v>100</v>
      </c>
      <c r="C2" s="0" t="n">
        <v>3</v>
      </c>
      <c r="D2" s="0" t="n">
        <v>100</v>
      </c>
      <c r="E2" s="0" t="n">
        <v>5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6.89364965209091E-005</v>
      </c>
      <c r="L2" s="0" t="n">
        <v>3.61180151030068E-005</v>
      </c>
      <c r="M2" s="0" t="n">
        <v>4.27820874275424E-005</v>
      </c>
      <c r="N2" s="0" t="n">
        <v>2.06951432132138E-005</v>
      </c>
      <c r="O2" s="0" t="n">
        <v>2.0610894518043E-005</v>
      </c>
      <c r="P2" s="0" t="s">
        <v>4</v>
      </c>
      <c r="Q2" s="0" t="n">
        <v>5</v>
      </c>
    </row>
    <row r="3" customFormat="false" ht="14.25" hidden="false" customHeight="false" outlineLevel="0" collapsed="false">
      <c r="A3" s="0" t="n">
        <v>100</v>
      </c>
      <c r="B3" s="0" t="n">
        <v>100</v>
      </c>
      <c r="C3" s="0" t="n">
        <v>3</v>
      </c>
      <c r="D3" s="0" t="n">
        <v>100</v>
      </c>
      <c r="E3" s="0" t="n">
        <v>6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0.000111196422502871</v>
      </c>
      <c r="L3" s="0" t="n">
        <v>5.58117332094809E-005</v>
      </c>
      <c r="M3" s="0" t="n">
        <v>6.26450338115019E-005</v>
      </c>
      <c r="N3" s="0" t="n">
        <v>2.06973970859267E-005</v>
      </c>
      <c r="O3" s="0" t="n">
        <v>2.06702863130141E-005</v>
      </c>
      <c r="P3" s="0" t="s">
        <v>4</v>
      </c>
      <c r="Q3" s="0" t="n">
        <v>6</v>
      </c>
    </row>
    <row r="4" customFormat="false" ht="14.25" hidden="false" customHeight="false" outlineLevel="0" collapsed="false">
      <c r="A4" s="0" t="n">
        <v>100</v>
      </c>
      <c r="B4" s="0" t="n">
        <v>100</v>
      </c>
      <c r="C4" s="0" t="n">
        <v>3</v>
      </c>
      <c r="D4" s="0" t="n">
        <v>100</v>
      </c>
      <c r="E4" s="0" t="n">
        <v>7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0.000247127418497324</v>
      </c>
      <c r="L4" s="0" t="n">
        <v>0.000111585312117478</v>
      </c>
      <c r="M4" s="0" t="n">
        <v>0.000123387800116267</v>
      </c>
      <c r="N4" s="0" t="n">
        <v>2.06991823730468E-005</v>
      </c>
      <c r="O4" s="0" t="n">
        <v>2.06321293401747E-005</v>
      </c>
      <c r="P4" s="0" t="s">
        <v>4</v>
      </c>
      <c r="Q4" s="0" t="n">
        <v>7</v>
      </c>
    </row>
    <row r="5" customFormat="false" ht="14.25" hidden="false" customHeight="false" outlineLevel="0" collapsed="false">
      <c r="A5" s="0" t="n">
        <v>100</v>
      </c>
      <c r="B5" s="0" t="n">
        <v>100</v>
      </c>
      <c r="C5" s="0" t="n">
        <v>3</v>
      </c>
      <c r="D5" s="0" t="n">
        <v>100</v>
      </c>
      <c r="E5" s="0" t="n">
        <v>8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0.000107543116488755</v>
      </c>
      <c r="L5" s="0" t="n">
        <v>5.18802511101854E-005</v>
      </c>
      <c r="M5" s="0" t="n">
        <v>5.86882518058744E-005</v>
      </c>
      <c r="N5" s="0" t="n">
        <v>2.06992623496756E-005</v>
      </c>
      <c r="O5" s="0" t="n">
        <v>2.07323808254881E-005</v>
      </c>
      <c r="P5" s="0" t="s">
        <v>4</v>
      </c>
      <c r="Q5" s="0" t="n">
        <v>8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3</v>
      </c>
      <c r="D6" s="0" t="n">
        <v>100</v>
      </c>
      <c r="E6" s="0" t="n">
        <v>9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0.000191678053999319</v>
      </c>
      <c r="L6" s="0" t="n">
        <v>7.85823167876761E-005</v>
      </c>
      <c r="M6" s="0" t="n">
        <v>8.79338136013159E-005</v>
      </c>
      <c r="N6" s="0" t="n">
        <v>2.08507136894681E-005</v>
      </c>
      <c r="O6" s="0" t="n">
        <v>2.06729710377307E-005</v>
      </c>
      <c r="P6" s="0" t="s">
        <v>4</v>
      </c>
      <c r="Q6" s="0" t="n">
        <v>9</v>
      </c>
    </row>
    <row r="7" customFormat="false" ht="14.25" hidden="false" customHeight="false" outlineLevel="0" collapsed="false">
      <c r="A7" s="0" t="n">
        <v>100</v>
      </c>
      <c r="B7" s="0" t="n">
        <v>100</v>
      </c>
      <c r="C7" s="0" t="n">
        <v>3</v>
      </c>
      <c r="D7" s="0" t="n">
        <v>100</v>
      </c>
      <c r="E7" s="0" t="n">
        <v>10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5.66346292944356E-005</v>
      </c>
      <c r="L7" s="0" t="n">
        <v>3.05035300712377E-005</v>
      </c>
      <c r="M7" s="0" t="n">
        <v>3.25775397222957E-005</v>
      </c>
      <c r="N7" s="0" t="n">
        <v>2.06987515673419E-005</v>
      </c>
      <c r="O7" s="0" t="n">
        <v>2.06728580411332E-005</v>
      </c>
      <c r="P7" s="0" t="s">
        <v>4</v>
      </c>
      <c r="Q7" s="0" t="n">
        <v>10</v>
      </c>
    </row>
    <row r="8" customFormat="false" ht="14.25" hidden="false" customHeight="false" outlineLevel="0" collapsed="false">
      <c r="A8" s="0" t="n">
        <v>100</v>
      </c>
      <c r="B8" s="0" t="n">
        <v>100</v>
      </c>
      <c r="C8" s="0" t="n">
        <v>3</v>
      </c>
      <c r="D8" s="0" t="n">
        <v>100</v>
      </c>
      <c r="E8" s="0" t="n">
        <v>11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0.000115759561424425</v>
      </c>
      <c r="L8" s="0" t="n">
        <v>5.60672059420899E-005</v>
      </c>
      <c r="M8" s="0" t="n">
        <v>6.76143020756017E-005</v>
      </c>
      <c r="N8" s="0" t="n">
        <v>2.06985293137199E-005</v>
      </c>
      <c r="O8" s="0" t="n">
        <v>2.06768815199808E-005</v>
      </c>
      <c r="P8" s="0" t="s">
        <v>4</v>
      </c>
      <c r="Q8" s="0" t="n">
        <v>11</v>
      </c>
    </row>
    <row r="9" customFormat="false" ht="14.25" hidden="false" customHeight="false" outlineLevel="0" collapsed="false">
      <c r="A9" s="0" t="n">
        <v>100</v>
      </c>
      <c r="B9" s="0" t="n">
        <v>100</v>
      </c>
      <c r="C9" s="0" t="n">
        <v>3</v>
      </c>
      <c r="D9" s="0" t="n">
        <v>100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0.000156169725801396</v>
      </c>
      <c r="L9" s="0" t="n">
        <v>7.23906795482369E-005</v>
      </c>
      <c r="M9" s="0" t="n">
        <v>7.75939810415302E-005</v>
      </c>
      <c r="N9" s="0" t="n">
        <v>2.44490327148205E-005</v>
      </c>
      <c r="O9" s="0" t="n">
        <v>2.00561328158049E-005</v>
      </c>
      <c r="P9" s="0" t="s">
        <v>4</v>
      </c>
      <c r="Q9" s="0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100</v>
      </c>
      <c r="B2" s="0" t="n">
        <v>100</v>
      </c>
      <c r="C2" s="0" t="n">
        <v>3</v>
      </c>
      <c r="D2" s="0" t="n">
        <v>100</v>
      </c>
      <c r="E2" s="0" t="n">
        <v>10</v>
      </c>
      <c r="F2" s="0" t="n">
        <v>1</v>
      </c>
      <c r="G2" s="0" t="n">
        <v>10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5.86856959733002E-005</v>
      </c>
      <c r="L2" s="0" t="n">
        <v>2.82973911926111E-005</v>
      </c>
      <c r="M2" s="0" t="n">
        <v>8.22196868971752E-005</v>
      </c>
      <c r="N2" s="0" t="n">
        <v>8.59744411618817E-005</v>
      </c>
      <c r="O2" s="0" t="n">
        <v>1.71762475599319E-005</v>
      </c>
      <c r="P2" s="0" t="s">
        <v>19</v>
      </c>
      <c r="Q2" s="0" t="n">
        <v>10</v>
      </c>
    </row>
    <row r="3" customFormat="false" ht="14.25" hidden="false" customHeight="false" outlineLevel="0" collapsed="false">
      <c r="A3" s="0" t="n">
        <v>100</v>
      </c>
      <c r="B3" s="0" t="n">
        <v>100</v>
      </c>
      <c r="C3" s="0" t="n">
        <v>3</v>
      </c>
      <c r="D3" s="0" t="n">
        <v>100</v>
      </c>
      <c r="E3" s="0" t="n">
        <v>10</v>
      </c>
      <c r="F3" s="0" t="n">
        <v>1</v>
      </c>
      <c r="G3" s="0" t="n">
        <v>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3.52458201415705E-005</v>
      </c>
      <c r="L3" s="0" t="n">
        <v>1.33816709285423E-005</v>
      </c>
      <c r="M3" s="0" t="n">
        <v>3.52893454342805E-005</v>
      </c>
      <c r="N3" s="0" t="n">
        <v>5.85848453394192E-005</v>
      </c>
      <c r="O3" s="0" t="n">
        <v>9.73728123992076E-006</v>
      </c>
      <c r="P3" s="0" t="s">
        <v>19</v>
      </c>
      <c r="Q3" s="0" t="n">
        <v>5</v>
      </c>
    </row>
    <row r="4" customFormat="false" ht="14.25" hidden="false" customHeight="false" outlineLevel="0" collapsed="false">
      <c r="A4" s="0" t="n">
        <v>100</v>
      </c>
      <c r="B4" s="0" t="n">
        <v>100</v>
      </c>
      <c r="C4" s="0" t="n">
        <v>3</v>
      </c>
      <c r="D4" s="0" t="n">
        <v>100</v>
      </c>
      <c r="E4" s="0" t="n">
        <v>10</v>
      </c>
      <c r="F4" s="0" t="n">
        <v>1</v>
      </c>
      <c r="G4" s="0" t="n">
        <v>1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5.26496936924146E-005</v>
      </c>
      <c r="L4" s="0" t="n">
        <v>2.51061049616774E-005</v>
      </c>
      <c r="M4" s="0" t="n">
        <v>3.93633372765503E-005</v>
      </c>
      <c r="N4" s="0" t="n">
        <v>2.38341770663391E-005</v>
      </c>
      <c r="O4" s="0" t="n">
        <v>1.52216075642104E-005</v>
      </c>
      <c r="P4" s="0" t="s">
        <v>19</v>
      </c>
      <c r="Q4" s="0" t="n">
        <v>1</v>
      </c>
    </row>
    <row r="5" customFormat="false" ht="14.25" hidden="false" customHeight="false" outlineLevel="0" collapsed="false">
      <c r="A5" s="0" t="n">
        <v>100</v>
      </c>
      <c r="B5" s="0" t="n">
        <v>100</v>
      </c>
      <c r="C5" s="0" t="n">
        <v>3</v>
      </c>
      <c r="D5" s="0" t="n">
        <v>100</v>
      </c>
      <c r="E5" s="0" t="n">
        <v>10</v>
      </c>
      <c r="F5" s="0" t="n">
        <v>1</v>
      </c>
      <c r="G5" s="0" t="n">
        <v>0.5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0.000103696013858329</v>
      </c>
      <c r="L5" s="0" t="n">
        <v>4.92675009652373E-005</v>
      </c>
      <c r="M5" s="0" t="n">
        <v>7.24897414682875E-005</v>
      </c>
      <c r="N5" s="0" t="n">
        <v>1.86739355722974E-005</v>
      </c>
      <c r="O5" s="0" t="n">
        <v>1.77474193866478E-005</v>
      </c>
      <c r="P5" s="0" t="s">
        <v>19</v>
      </c>
      <c r="Q5" s="0" t="n">
        <v>0.5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3</v>
      </c>
      <c r="D6" s="0" t="n">
        <v>100</v>
      </c>
      <c r="E6" s="0" t="n">
        <v>10</v>
      </c>
      <c r="F6" s="0" t="n">
        <v>1</v>
      </c>
      <c r="G6" s="0" t="n">
        <v>0.1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6.71920409266821E-005</v>
      </c>
      <c r="L6" s="0" t="n">
        <v>3.50895115509709E-005</v>
      </c>
      <c r="M6" s="0" t="n">
        <v>4.44706960313244E-005</v>
      </c>
      <c r="N6" s="0" t="n">
        <v>2.00964002197624E-005</v>
      </c>
      <c r="O6" s="0" t="n">
        <v>2.0077321818858E-005</v>
      </c>
      <c r="P6" s="0" t="s">
        <v>19</v>
      </c>
      <c r="Q6" s="0" t="n">
        <v>0.1</v>
      </c>
    </row>
    <row r="7" customFormat="false" ht="14.25" hidden="false" customHeight="false" outlineLevel="0" collapsed="false">
      <c r="A7" s="0" t="n">
        <v>100</v>
      </c>
      <c r="B7" s="0" t="n">
        <v>100</v>
      </c>
      <c r="C7" s="0" t="n">
        <v>3</v>
      </c>
      <c r="D7" s="0" t="n">
        <v>100</v>
      </c>
      <c r="E7" s="0" t="n">
        <v>10</v>
      </c>
      <c r="F7" s="0" t="n">
        <v>1</v>
      </c>
      <c r="G7" s="0" t="n">
        <v>0.05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7.11678458546871E-005</v>
      </c>
      <c r="L7" s="0" t="n">
        <v>3.09052692721257E-005</v>
      </c>
      <c r="M7" s="0" t="n">
        <v>3.70223840163767E-005</v>
      </c>
      <c r="N7" s="0" t="n">
        <v>2.04117939957303E-005</v>
      </c>
      <c r="O7" s="0" t="n">
        <v>2.03886916995599E-005</v>
      </c>
      <c r="P7" s="0" t="s">
        <v>19</v>
      </c>
      <c r="Q7" s="0" t="n">
        <v>0.05</v>
      </c>
    </row>
    <row r="8" customFormat="false" ht="14.25" hidden="false" customHeight="false" outlineLevel="0" collapsed="false">
      <c r="A8" s="0" t="n">
        <v>100</v>
      </c>
      <c r="B8" s="0" t="n">
        <v>100</v>
      </c>
      <c r="C8" s="0" t="n">
        <v>3</v>
      </c>
      <c r="D8" s="0" t="n">
        <v>100</v>
      </c>
      <c r="E8" s="0" t="n">
        <v>10</v>
      </c>
      <c r="F8" s="0" t="n">
        <v>1</v>
      </c>
      <c r="G8" s="0" t="n">
        <v>0.01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5.73228279258588E-005</v>
      </c>
      <c r="L8" s="0" t="n">
        <v>2.88927734031761E-005</v>
      </c>
      <c r="M8" s="0" t="n">
        <v>3.33773270343353E-005</v>
      </c>
      <c r="N8" s="0" t="n">
        <v>2.06667164351223E-005</v>
      </c>
      <c r="O8" s="0" t="n">
        <v>2.06410994401836E-005</v>
      </c>
      <c r="P8" s="0" t="s">
        <v>19</v>
      </c>
      <c r="Q8" s="0" t="n">
        <v>0.01</v>
      </c>
    </row>
    <row r="9" customFormat="false" ht="14.25" hidden="false" customHeight="false" outlineLevel="0" collapsed="false">
      <c r="A9" s="0" t="n">
        <v>100</v>
      </c>
      <c r="B9" s="0" t="n">
        <v>100</v>
      </c>
      <c r="C9" s="0" t="n">
        <v>3</v>
      </c>
      <c r="D9" s="0" t="n">
        <v>100</v>
      </c>
      <c r="E9" s="0" t="n">
        <v>10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5.66346292944356E-005</v>
      </c>
      <c r="L9" s="0" t="n">
        <v>3.05035300712377E-005</v>
      </c>
      <c r="M9" s="0" t="n">
        <v>3.25775397222957E-005</v>
      </c>
      <c r="N9" s="0" t="n">
        <v>2.06987515673419E-005</v>
      </c>
      <c r="O9" s="0" t="n">
        <v>2.06728580411332E-005</v>
      </c>
      <c r="P9" s="0" t="s">
        <v>19</v>
      </c>
      <c r="Q9" s="0" t="n">
        <v>0.005</v>
      </c>
    </row>
    <row r="10" customFormat="false" ht="14.25" hidden="false" customHeight="false" outlineLevel="0" collapsed="false">
      <c r="A10" s="0" t="n">
        <v>100</v>
      </c>
      <c r="B10" s="0" t="n">
        <v>100</v>
      </c>
      <c r="C10" s="0" t="n">
        <v>3</v>
      </c>
      <c r="D10" s="0" t="n">
        <v>100</v>
      </c>
      <c r="E10" s="0" t="n">
        <v>10</v>
      </c>
      <c r="F10" s="0" t="n">
        <v>1</v>
      </c>
      <c r="G10" s="0" t="n">
        <v>0.001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7.97189221495013E-005</v>
      </c>
      <c r="L10" s="0" t="n">
        <v>4.15964203432122E-005</v>
      </c>
      <c r="M10" s="0" t="n">
        <v>4.72607814133885E-005</v>
      </c>
      <c r="N10" s="0" t="n">
        <v>2.07244150801834E-005</v>
      </c>
      <c r="O10" s="0" t="n">
        <v>2.06982980147481E-005</v>
      </c>
      <c r="P10" s="0" t="s">
        <v>19</v>
      </c>
      <c r="Q10" s="0" t="n">
        <v>0.001</v>
      </c>
    </row>
    <row r="11" customFormat="false" ht="14.25" hidden="false" customHeight="false" outlineLevel="0" collapsed="false">
      <c r="A11" s="0" t="n">
        <v>100</v>
      </c>
      <c r="B11" s="0" t="n">
        <v>100</v>
      </c>
      <c r="C11" s="0" t="n">
        <v>3</v>
      </c>
      <c r="D11" s="0" t="n">
        <v>100</v>
      </c>
      <c r="E11" s="0" t="n">
        <v>10</v>
      </c>
      <c r="F11" s="0" t="n">
        <v>1</v>
      </c>
      <c r="G11" s="0" t="n">
        <v>0.0005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9.75571351081915E-005</v>
      </c>
      <c r="L11" s="0" t="n">
        <v>5.02096074183987E-005</v>
      </c>
      <c r="M11" s="0" t="n">
        <v>5.80656448140083E-005</v>
      </c>
      <c r="N11" s="0" t="n">
        <v>2.07275665073883E-005</v>
      </c>
      <c r="O11" s="0" t="n">
        <v>2.07014798112857E-005</v>
      </c>
      <c r="P11" s="0" t="s">
        <v>19</v>
      </c>
      <c r="Q11" s="0" t="n">
        <v>0.0005</v>
      </c>
    </row>
    <row r="12" customFormat="false" ht="14.25" hidden="false" customHeight="false" outlineLevel="0" collapsed="false">
      <c r="A12" s="0" t="n">
        <v>100</v>
      </c>
      <c r="B12" s="0" t="n">
        <v>100</v>
      </c>
      <c r="C12" s="0" t="n">
        <v>3</v>
      </c>
      <c r="D12" s="0" t="n">
        <v>100</v>
      </c>
      <c r="E12" s="0" t="n">
        <v>10</v>
      </c>
      <c r="F12" s="0" t="n">
        <v>1</v>
      </c>
      <c r="G12" s="0" t="n">
        <v>0.0001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0.00016114443396982</v>
      </c>
      <c r="L12" s="0" t="n">
        <v>6.72948816149448E-005</v>
      </c>
      <c r="M12" s="0" t="n">
        <v>7.68622444684858E-005</v>
      </c>
      <c r="N12" s="0" t="n">
        <v>2.07302074380641E-005</v>
      </c>
      <c r="O12" s="0" t="n">
        <v>2.07040276256044E-005</v>
      </c>
      <c r="P12" s="0" t="s">
        <v>19</v>
      </c>
      <c r="Q12" s="0" t="n">
        <v>0.0001</v>
      </c>
    </row>
    <row r="13" customFormat="false" ht="14.25" hidden="false" customHeight="false" outlineLevel="0" collapsed="false">
      <c r="A13" s="0" t="n">
        <v>100</v>
      </c>
      <c r="B13" s="0" t="n">
        <v>100</v>
      </c>
      <c r="C13" s="0" t="n">
        <v>3</v>
      </c>
      <c r="D13" s="0" t="n">
        <v>100</v>
      </c>
      <c r="E13" s="0" t="n">
        <v>10</v>
      </c>
      <c r="F13" s="0" t="n">
        <v>1</v>
      </c>
      <c r="G13" s="0" t="n">
        <v>5E-005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0.000183386340285251</v>
      </c>
      <c r="L13" s="0" t="n">
        <v>7.17447846986727E-005</v>
      </c>
      <c r="M13" s="0" t="n">
        <v>8.12348490256973E-005</v>
      </c>
      <c r="N13" s="0" t="n">
        <v>2.07305165106895E-005</v>
      </c>
      <c r="O13" s="0" t="n">
        <v>2.0704344264096E-005</v>
      </c>
      <c r="P13" s="0" t="s">
        <v>19</v>
      </c>
      <c r="Q13" s="0" t="n">
        <v>5E-005</v>
      </c>
    </row>
    <row r="14" customFormat="false" ht="14.25" hidden="false" customHeight="false" outlineLevel="0" collapsed="false">
      <c r="A14" s="0" t="n">
        <v>100</v>
      </c>
      <c r="B14" s="0" t="n">
        <v>100</v>
      </c>
      <c r="C14" s="0" t="n">
        <v>3</v>
      </c>
      <c r="D14" s="0" t="n">
        <v>100</v>
      </c>
      <c r="E14" s="0" t="n">
        <v>10</v>
      </c>
      <c r="F14" s="0" t="n">
        <v>1</v>
      </c>
      <c r="G14" s="0" t="n">
        <v>1E-005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0.000205072325032599</v>
      </c>
      <c r="L14" s="0" t="n">
        <v>7.60940090628756E-005</v>
      </c>
      <c r="M14" s="0" t="n">
        <v>8.53204025739636E-005</v>
      </c>
      <c r="N14" s="0" t="n">
        <v>2.07307741242993E-005</v>
      </c>
      <c r="O14" s="0" t="n">
        <v>2.07045989267232E-005</v>
      </c>
      <c r="P14" s="0" t="s">
        <v>19</v>
      </c>
      <c r="Q14" s="0" t="n">
        <v>1E-005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100</v>
      </c>
      <c r="B2" s="0" t="n">
        <v>100</v>
      </c>
      <c r="C2" s="0" t="n">
        <v>3</v>
      </c>
      <c r="D2" s="0" t="n">
        <v>100</v>
      </c>
      <c r="E2" s="0" t="n">
        <v>10</v>
      </c>
      <c r="F2" s="0" t="n">
        <v>1</v>
      </c>
      <c r="G2" s="0" t="n">
        <v>0.005</v>
      </c>
      <c r="H2" s="0" t="n">
        <v>0</v>
      </c>
      <c r="I2" s="1" t="b">
        <f aca="false">FALSE()</f>
        <v>0</v>
      </c>
      <c r="J2" s="1" t="b">
        <f aca="false">TRUE()</f>
        <v>1</v>
      </c>
      <c r="K2" s="0" t="n">
        <v>5.71891946598428E-005</v>
      </c>
      <c r="L2" s="0" t="n">
        <v>3.89978867107578E-005</v>
      </c>
      <c r="M2" s="0" t="n">
        <v>6.76614366618427E-005</v>
      </c>
      <c r="N2" s="0" t="n">
        <v>0.000155702129732042</v>
      </c>
      <c r="O2" s="0" t="n">
        <v>4.29414820768609E-005</v>
      </c>
      <c r="P2" s="0" t="s">
        <v>20</v>
      </c>
      <c r="Q2" s="0" t="n">
        <v>0</v>
      </c>
    </row>
    <row r="3" customFormat="false" ht="14.25" hidden="false" customHeight="false" outlineLevel="0" collapsed="false">
      <c r="A3" s="0" t="n">
        <v>100</v>
      </c>
      <c r="B3" s="0" t="n">
        <v>100</v>
      </c>
      <c r="C3" s="0" t="n">
        <v>3</v>
      </c>
      <c r="D3" s="0" t="n">
        <v>100</v>
      </c>
      <c r="E3" s="0" t="n">
        <v>10</v>
      </c>
      <c r="F3" s="0" t="n">
        <v>1</v>
      </c>
      <c r="G3" s="0" t="n">
        <v>0.005</v>
      </c>
      <c r="H3" s="0" t="n">
        <v>4</v>
      </c>
      <c r="I3" s="1" t="b">
        <f aca="false">FALSE()</f>
        <v>0</v>
      </c>
      <c r="J3" s="1" t="b">
        <f aca="false">TRUE()</f>
        <v>1</v>
      </c>
      <c r="K3" s="0" t="n">
        <v>0.00244541030257462</v>
      </c>
      <c r="L3" s="0" t="n">
        <v>0.000511081038096943</v>
      </c>
      <c r="M3" s="0" t="n">
        <v>0.00110466078375752</v>
      </c>
      <c r="N3" s="0" t="n">
        <v>0.000127897093847339</v>
      </c>
      <c r="O3" s="0" t="n">
        <v>2.82712569342967E-005</v>
      </c>
      <c r="P3" s="0" t="s">
        <v>20</v>
      </c>
      <c r="Q3" s="0" t="n">
        <v>4</v>
      </c>
    </row>
    <row r="4" customFormat="false" ht="14.25" hidden="false" customHeight="false" outlineLevel="0" collapsed="false">
      <c r="A4" s="0" t="n">
        <v>100</v>
      </c>
      <c r="B4" s="0" t="n">
        <v>100</v>
      </c>
      <c r="C4" s="0" t="n">
        <v>3</v>
      </c>
      <c r="D4" s="0" t="n">
        <v>100</v>
      </c>
      <c r="E4" s="0" t="n">
        <v>10</v>
      </c>
      <c r="F4" s="0" t="n">
        <v>1</v>
      </c>
      <c r="G4" s="0" t="n">
        <v>0.005</v>
      </c>
      <c r="H4" s="0" t="n">
        <v>6</v>
      </c>
      <c r="I4" s="1" t="b">
        <f aca="false">FALSE()</f>
        <v>0</v>
      </c>
      <c r="J4" s="1" t="b">
        <f aca="false">TRUE()</f>
        <v>1</v>
      </c>
      <c r="K4" s="0" t="n">
        <v>0.00276417272618925</v>
      </c>
      <c r="L4" s="0" t="n">
        <v>0.000285724644277873</v>
      </c>
      <c r="M4" s="0" t="n">
        <v>0.000424283345816899</v>
      </c>
      <c r="N4" s="0" t="n">
        <v>8.72291216103966E-005</v>
      </c>
      <c r="O4" s="0" t="n">
        <v>2.51893634684832E-005</v>
      </c>
      <c r="P4" s="0" t="s">
        <v>20</v>
      </c>
      <c r="Q4" s="0" t="n">
        <v>6</v>
      </c>
    </row>
    <row r="5" customFormat="false" ht="14.25" hidden="false" customHeight="false" outlineLevel="0" collapsed="false">
      <c r="A5" s="0" t="n">
        <v>100</v>
      </c>
      <c r="B5" s="0" t="n">
        <v>100</v>
      </c>
      <c r="C5" s="0" t="n">
        <v>3</v>
      </c>
      <c r="D5" s="0" t="n">
        <v>100</v>
      </c>
      <c r="E5" s="0" t="n">
        <v>10</v>
      </c>
      <c r="F5" s="0" t="n">
        <v>1</v>
      </c>
      <c r="G5" s="0" t="n">
        <v>0.005</v>
      </c>
      <c r="H5" s="0" t="n">
        <v>8</v>
      </c>
      <c r="I5" s="1" t="b">
        <f aca="false">FALSE()</f>
        <v>0</v>
      </c>
      <c r="J5" s="1" t="b">
        <f aca="false">TRUE()</f>
        <v>1</v>
      </c>
      <c r="K5" s="0" t="n">
        <v>0.000609729728112728</v>
      </c>
      <c r="L5" s="0" t="n">
        <v>9.84913596911097E-005</v>
      </c>
      <c r="M5" s="0" t="n">
        <v>0.000138407568130478</v>
      </c>
      <c r="N5" s="0" t="n">
        <v>5.42011360584014E-005</v>
      </c>
      <c r="O5" s="0" t="n">
        <v>2.27748013560828E-005</v>
      </c>
      <c r="P5" s="0" t="s">
        <v>20</v>
      </c>
      <c r="Q5" s="0" t="n">
        <v>8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3</v>
      </c>
      <c r="D6" s="0" t="n">
        <v>100</v>
      </c>
      <c r="E6" s="0" t="n">
        <v>10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5.66346292944356E-005</v>
      </c>
      <c r="L6" s="0" t="n">
        <v>3.05035300712377E-005</v>
      </c>
      <c r="M6" s="0" t="n">
        <v>3.25775397222957E-005</v>
      </c>
      <c r="N6" s="0" t="n">
        <v>2.06987515673419E-005</v>
      </c>
      <c r="O6" s="0" t="n">
        <v>2.06728580411332E-005</v>
      </c>
      <c r="P6" s="0" t="s">
        <v>20</v>
      </c>
      <c r="Q6" s="0" t="n">
        <v>12</v>
      </c>
    </row>
    <row r="7" customFormat="false" ht="14.25" hidden="false" customHeight="false" outlineLevel="0" collapsed="false">
      <c r="A7" s="0" t="n">
        <v>100</v>
      </c>
      <c r="B7" s="0" t="n">
        <v>100</v>
      </c>
      <c r="C7" s="0" t="n">
        <v>3</v>
      </c>
      <c r="D7" s="0" t="n">
        <v>100</v>
      </c>
      <c r="E7" s="0" t="n">
        <v>10</v>
      </c>
      <c r="F7" s="0" t="n">
        <v>1</v>
      </c>
      <c r="G7" s="0" t="n">
        <v>0.005</v>
      </c>
      <c r="H7" s="0" t="n">
        <v>16</v>
      </c>
      <c r="I7" s="1" t="b">
        <f aca="false">FALSE()</f>
        <v>0</v>
      </c>
      <c r="J7" s="1" t="b">
        <f aca="false">TRUE()</f>
        <v>1</v>
      </c>
      <c r="K7" s="0" t="n">
        <v>0.000530336241653248</v>
      </c>
      <c r="L7" s="0" t="n">
        <v>8.29312844129712E-005</v>
      </c>
      <c r="M7" s="0" t="n">
        <v>0.000112634881914266</v>
      </c>
      <c r="N7" s="0" t="n">
        <v>5.42072769328601E-005</v>
      </c>
      <c r="O7" s="0" t="n">
        <v>2.27537228064627E-005</v>
      </c>
      <c r="P7" s="0" t="s">
        <v>20</v>
      </c>
      <c r="Q7" s="0" t="n">
        <v>16</v>
      </c>
    </row>
    <row r="8" customFormat="false" ht="14.25" hidden="false" customHeight="false" outlineLevel="0" collapsed="false">
      <c r="A8" s="0" t="n">
        <v>100</v>
      </c>
      <c r="B8" s="0" t="n">
        <v>100</v>
      </c>
      <c r="C8" s="0" t="n">
        <v>3</v>
      </c>
      <c r="D8" s="0" t="n">
        <v>100</v>
      </c>
      <c r="E8" s="0" t="n">
        <v>10</v>
      </c>
      <c r="F8" s="0" t="n">
        <v>1</v>
      </c>
      <c r="G8" s="0" t="n">
        <v>0.005</v>
      </c>
      <c r="H8" s="0" t="n">
        <v>18</v>
      </c>
      <c r="I8" s="1" t="b">
        <f aca="false">FALSE()</f>
        <v>0</v>
      </c>
      <c r="J8" s="1" t="b">
        <f aca="false">TRUE()</f>
        <v>1</v>
      </c>
      <c r="K8" s="0" t="n">
        <v>0.000651237850198425</v>
      </c>
      <c r="L8" s="0" t="n">
        <v>0.000107151059549277</v>
      </c>
      <c r="M8" s="0" t="n">
        <v>0.000149958160846312</v>
      </c>
      <c r="N8" s="0" t="n">
        <v>8.72405910934526E-005</v>
      </c>
      <c r="O8" s="0" t="n">
        <v>2.51806530153185E-005</v>
      </c>
      <c r="P8" s="0" t="s">
        <v>20</v>
      </c>
      <c r="Q8" s="0" t="n">
        <v>18</v>
      </c>
    </row>
    <row r="9" customFormat="false" ht="14.25" hidden="false" customHeight="false" outlineLevel="0" collapsed="false">
      <c r="A9" s="0" t="n">
        <v>100</v>
      </c>
      <c r="B9" s="0" t="n">
        <v>100</v>
      </c>
      <c r="C9" s="0" t="n">
        <v>3</v>
      </c>
      <c r="D9" s="0" t="n">
        <v>100</v>
      </c>
      <c r="E9" s="0" t="n">
        <v>10</v>
      </c>
      <c r="F9" s="0" t="n">
        <v>1</v>
      </c>
      <c r="G9" s="0" t="n">
        <v>0.005</v>
      </c>
      <c r="H9" s="0" t="n">
        <v>20</v>
      </c>
      <c r="I9" s="1" t="b">
        <f aca="false">FALSE()</f>
        <v>0</v>
      </c>
      <c r="J9" s="1" t="b">
        <f aca="false">TRUE()</f>
        <v>1</v>
      </c>
      <c r="K9" s="0" t="n">
        <v>8.55020579217297E-005</v>
      </c>
      <c r="L9" s="0" t="n">
        <v>3.7368334090234E-005</v>
      </c>
      <c r="M9" s="0" t="n">
        <v>6.79130756777925E-005</v>
      </c>
      <c r="N9" s="0" t="n">
        <v>0.000127919096325376</v>
      </c>
      <c r="O9" s="0" t="n">
        <v>2.83025765640634E-005</v>
      </c>
      <c r="P9" s="0" t="s">
        <v>20</v>
      </c>
      <c r="Q9" s="0" t="n">
        <v>20</v>
      </c>
    </row>
    <row r="10" customFormat="false" ht="14.25" hidden="false" customHeight="false" outlineLevel="0" collapsed="false">
      <c r="A10" s="0" t="n">
        <v>100</v>
      </c>
      <c r="B10" s="0" t="n">
        <v>100</v>
      </c>
      <c r="C10" s="0" t="n">
        <v>3</v>
      </c>
      <c r="D10" s="0" t="n">
        <v>100</v>
      </c>
      <c r="E10" s="0" t="n">
        <v>10</v>
      </c>
      <c r="F10" s="0" t="n">
        <v>1</v>
      </c>
      <c r="G10" s="0" t="n">
        <v>0.005</v>
      </c>
      <c r="H10" s="0" t="n">
        <v>24</v>
      </c>
      <c r="I10" s="1" t="b">
        <f aca="false">FALSE()</f>
        <v>0</v>
      </c>
      <c r="J10" s="1" t="b">
        <f aca="false">TRUE()</f>
        <v>1</v>
      </c>
      <c r="K10" s="0" t="n">
        <v>5.71914788700996E-005</v>
      </c>
      <c r="L10" s="0" t="n">
        <v>3.89984360728599E-005</v>
      </c>
      <c r="M10" s="0" t="n">
        <v>6.76646006675085E-005</v>
      </c>
      <c r="N10" s="0" t="n">
        <v>0.000155702139659472</v>
      </c>
      <c r="O10" s="0" t="n">
        <v>4.29414823547018E-005</v>
      </c>
      <c r="P10" s="0" t="s">
        <v>20</v>
      </c>
      <c r="Q10" s="0" t="n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2026-07-14T04:06:58Z</dcterms:created>
  <dc:creator>openpyxl</dc:creator>
  <dc:description/>
  <dc:language>en-US</dc:language>
  <cp:lastModifiedBy/>
  <dcterms:modified xsi:type="dcterms:W3CDTF">2026-07-14T17:22:36Z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