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id Size" sheetId="1" state="visible" r:id="rId3"/>
    <sheet name="Length Scale" sheetId="2" state="visible" r:id="rId4"/>
    <sheet name="Stencil Nodes" sheetId="3" state="visible" r:id="rId5"/>
    <sheet name="Center Rings" sheetId="4" state="visible" r:id="rId6"/>
    <sheet name="Eigenvalue Ratio" sheetId="5" state="visible" r:id="rId7"/>
    <sheet name="Eigenvector Ang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<sst xmlns="http://schemas.openxmlformats.org/spreadsheetml/2006/main" count="167" uniqueCount="21">
  <si>
    <t xml:space="preserve">Nx</t>
  </si>
  <si>
    <t xml:space="preserve">Ny</t>
  </si>
  <si>
    <t xml:space="preserve">eps</t>
  </si>
  <si>
    <t xml:space="preserve">num_stencil_nodes</t>
  </si>
  <si>
    <t xml:space="preserve">num_rings</t>
  </si>
  <si>
    <t xml:space="preserve">eigenvalue 1</t>
  </si>
  <si>
    <t xml:space="preserve">eigenvalue 2</t>
  </si>
  <si>
    <t xml:space="preserve">radian = r/24</t>
  </si>
  <si>
    <t xml:space="preserve">augmentation</t>
  </si>
  <si>
    <t xml:space="preserve">sparse</t>
  </si>
  <si>
    <t xml:space="preserve">u_exact - u max_error_rel</t>
  </si>
  <si>
    <t xml:space="preserve">u_exact - u l2_error_rel</t>
  </si>
  <si>
    <t xml:space="preserve">energy_error_rel</t>
  </si>
  <si>
    <t xml:space="preserve">Lu_exact - F max_residual_rel</t>
  </si>
  <si>
    <t xml:space="preserve">Lu_exact - F l2_residual_rel</t>
  </si>
  <si>
    <t xml:space="preserve">varied_param</t>
  </si>
  <si>
    <t xml:space="preserve">varied_value</t>
  </si>
  <si>
    <t xml:space="preserve">N_int</t>
  </si>
  <si>
    <t xml:space="preserve">Inverse Length Scale</t>
  </si>
  <si>
    <t xml:space="preserve">eig_2</t>
  </si>
  <si>
    <t xml:space="preserve">rad24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</si>
</sst>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F0E"/>
      <rgbColor rgb="FF9467BD"/>
      <rgbColor rgb="FF969696"/>
      <rgbColor rgb="FF003366"/>
      <rgbColor rgb="FF2CA02C"/>
      <rgbColor rgb="FF003300"/>
      <rgbColor rgb="FF333300"/>
      <rgbColor rgb="FFD627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Grid Size: Relative Errors &amp; Residuals vs N_int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Size'!$K$2:$K$11</c:f>
              <c:numCache>
                <c:formatCode>General</c:formatCode>
                <c:ptCount val="10"/>
                <c:pt idx="0">
                  <c:v>8.3899910730878E-005</c:v>
                </c:pt>
                <c:pt idx="1">
                  <c:v>0.000707658401469876</c:v>
                </c:pt>
                <c:pt idx="2">
                  <c:v>3.05714342874926E-005</c:v>
                </c:pt>
                <c:pt idx="3">
                  <c:v>7.49339899700866E-006</c:v>
                </c:pt>
                <c:pt idx="4">
                  <c:v>0.000191394862625464</c:v>
                </c:pt>
                <c:pt idx="5">
                  <c:v>0.000252691603548646</c:v>
                </c:pt>
                <c:pt idx="6">
                  <c:v>8.78673821761433E-005</c:v>
                </c:pt>
                <c:pt idx="7">
                  <c:v>0.000244450499400288</c:v>
                </c:pt>
                <c:pt idx="8">
                  <c:v>3.62482528889115E-005</c:v>
                </c:pt>
                <c:pt idx="9">
                  <c:v>8.79648532532788E-005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'Grid Size'!L1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Size'!$L$2:$L$11</c:f>
              <c:numCache>
                <c:formatCode>General</c:formatCode>
                <c:ptCount val="10"/>
                <c:pt idx="0">
                  <c:v>4.54260122815515E-005</c:v>
                </c:pt>
                <c:pt idx="1">
                  <c:v>0.000352026883258469</c:v>
                </c:pt>
                <c:pt idx="2">
                  <c:v>2.37326371907819E-005</c:v>
                </c:pt>
                <c:pt idx="3">
                  <c:v>3.76195015948038E-006</c:v>
                </c:pt>
                <c:pt idx="4">
                  <c:v>0.000133583377591315</c:v>
                </c:pt>
                <c:pt idx="5">
                  <c:v>0.000129017068978614</c:v>
                </c:pt>
                <c:pt idx="6">
                  <c:v>4.47867178172519E-005</c:v>
                </c:pt>
                <c:pt idx="7">
                  <c:v>9.65742162383701E-005</c:v>
                </c:pt>
                <c:pt idx="8">
                  <c:v>1.55028076429268E-005</c:v>
                </c:pt>
                <c:pt idx="9">
                  <c:v>3.68299697704804E-005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'Grid Size'!M1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Size'!$M$2:$M$11</c:f>
              <c:numCache>
                <c:formatCode>General</c:formatCode>
                <c:ptCount val="10"/>
                <c:pt idx="0">
                  <c:v>0.0723827758344357</c:v>
                </c:pt>
                <c:pt idx="1">
                  <c:v>0.0161681314670411</c:v>
                </c:pt>
                <c:pt idx="2">
                  <c:v>0.000119055702079394</c:v>
                </c:pt>
                <c:pt idx="3">
                  <c:v>4.41125535253364E-005</c:v>
                </c:pt>
                <c:pt idx="4">
                  <c:v>0.000788566414526895</c:v>
                </c:pt>
                <c:pt idx="5">
                  <c:v>0.0014392732726975</c:v>
                </c:pt>
                <c:pt idx="6">
                  <c:v>0.000324685446664561</c:v>
                </c:pt>
                <c:pt idx="7">
                  <c:v>0.000966596215013624</c:v>
                </c:pt>
                <c:pt idx="8">
                  <c:v>0.000145327667224182</c:v>
                </c:pt>
                <c:pt idx="9">
                  <c:v>0.000371799917382119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'Grid Size'!N1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Size'!$N$2:$N$11</c:f>
              <c:numCache>
                <c:formatCode>General</c:formatCode>
                <c:ptCount val="10"/>
                <c:pt idx="0">
                  <c:v>0.0399992383318022</c:v>
                </c:pt>
                <c:pt idx="1">
                  <c:v>0.00118434516892307</c:v>
                </c:pt>
                <c:pt idx="2">
                  <c:v>0.000458492509835651</c:v>
                </c:pt>
                <c:pt idx="3">
                  <c:v>0.00021345662843449</c:v>
                </c:pt>
                <c:pt idx="4">
                  <c:v>0.00251707071189837</c:v>
                </c:pt>
                <c:pt idx="5">
                  <c:v>0.00168595086597634</c:v>
                </c:pt>
                <c:pt idx="6">
                  <c:v>0.00145937804041788</c:v>
                </c:pt>
                <c:pt idx="7">
                  <c:v>0.00129984632826563</c:v>
                </c:pt>
                <c:pt idx="8">
                  <c:v>0.00277667286009849</c:v>
                </c:pt>
                <c:pt idx="9">
                  <c:v>0.000778272652193361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'Grid Size'!O1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Size'!$O$2:$O$11</c:f>
              <c:numCache>
                <c:formatCode>General</c:formatCode>
                <c:ptCount val="10"/>
                <c:pt idx="0">
                  <c:v>0.00389381155876291</c:v>
                </c:pt>
                <c:pt idx="1">
                  <c:v>0.000183344177900435</c:v>
                </c:pt>
                <c:pt idx="2">
                  <c:v>0.000209755847403166</c:v>
                </c:pt>
                <c:pt idx="3">
                  <c:v>2.72680331214855E-005</c:v>
                </c:pt>
                <c:pt idx="4">
                  <c:v>0.00115296665012195</c:v>
                </c:pt>
                <c:pt idx="5">
                  <c:v>0.000496867819836302</c:v>
                </c:pt>
                <c:pt idx="6">
                  <c:v>0.000325633346334334</c:v>
                </c:pt>
                <c:pt idx="7">
                  <c:v>0.000184722214246696</c:v>
                </c:pt>
                <c:pt idx="8">
                  <c:v>0.000202253469863512</c:v>
                </c:pt>
                <c:pt idx="9">
                  <c:v>7.09145691189395E-005</c:v>
                </c:pt>
              </c:numCache>
            </c:numRef>
          </c:yVal>
          <c:smooth val="0"/>
        </c:ser>
        <c:axId val="27346619"/>
        <c:axId val="58805383"/>
      </c:scatterChart>
      <c:valAx>
        <c:axId val="2734661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N_int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805383"/>
        <c:crosses val="autoZero"/>
        <c:crossBetween val="midCat"/>
      </c:valAx>
      <c:valAx>
        <c:axId val="5880538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34661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Length Scale: Relative Errors &amp; Residuals vs Inverse Length Scale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'Length Scale'!K1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Scale'!$Q$2:$Q$14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</c:numCache>
            </c:numRef>
          </c:xVal>
          <c:yVal>
            <c:numRef>
              <c:f>'Length Scale'!$K$2:$K$14</c:f>
              <c:numCache>
                <c:formatCode>General</c:formatCode>
                <c:ptCount val="13"/>
                <c:pt idx="0">
                  <c:v>2.32365236711936</c:v>
                </c:pt>
                <c:pt idx="1">
                  <c:v>72.2209530927041</c:v>
                </c:pt>
                <c:pt idx="2">
                  <c:v>0.000316510650292553</c:v>
                </c:pt>
                <c:pt idx="3">
                  <c:v>1.41843630159973E-005</c:v>
                </c:pt>
                <c:pt idx="4">
                  <c:v>4.37303576380129E-005</c:v>
                </c:pt>
                <c:pt idx="5">
                  <c:v>0.000165938395293552</c:v>
                </c:pt>
                <c:pt idx="6">
                  <c:v>0.000191394862625464</c:v>
                </c:pt>
                <c:pt idx="7">
                  <c:v>0.00512518398865606</c:v>
                </c:pt>
                <c:pt idx="8">
                  <c:v>9.99537101235385E-006</c:v>
                </c:pt>
                <c:pt idx="9">
                  <c:v>4.61407947646523E-005</c:v>
                </c:pt>
                <c:pt idx="10">
                  <c:v>0.000511924947779037</c:v>
                </c:pt>
                <c:pt idx="11">
                  <c:v>0.000136527611280949</c:v>
                </c:pt>
                <c:pt idx="12">
                  <c:v>0.000444365636467686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'Length Scale'!L1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Scale'!$Q$2:$Q$14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</c:numCache>
            </c:numRef>
          </c:xVal>
          <c:yVal>
            <c:numRef>
              <c:f>'Length Scale'!$L$2:$L$14</c:f>
              <c:numCache>
                <c:formatCode>General</c:formatCode>
                <c:ptCount val="13"/>
                <c:pt idx="0">
                  <c:v>1.04539152729432</c:v>
                </c:pt>
                <c:pt idx="1">
                  <c:v>29.7160045050699</c:v>
                </c:pt>
                <c:pt idx="2">
                  <c:v>0.000164340170743294</c:v>
                </c:pt>
                <c:pt idx="3">
                  <c:v>5.42402916361471E-006</c:v>
                </c:pt>
                <c:pt idx="4">
                  <c:v>2.37176709114308E-005</c:v>
                </c:pt>
                <c:pt idx="5">
                  <c:v>7.89184395239421E-005</c:v>
                </c:pt>
                <c:pt idx="6">
                  <c:v>0.000133583377591315</c:v>
                </c:pt>
                <c:pt idx="7">
                  <c:v>0.00255422759797631</c:v>
                </c:pt>
                <c:pt idx="8">
                  <c:v>4.57318021148826E-006</c:v>
                </c:pt>
                <c:pt idx="9">
                  <c:v>2.7314065316294E-005</c:v>
                </c:pt>
                <c:pt idx="10">
                  <c:v>0.000466298786365452</c:v>
                </c:pt>
                <c:pt idx="11">
                  <c:v>0.000113894734107578</c:v>
                </c:pt>
                <c:pt idx="12">
                  <c:v>0.000142779064070566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'Length Scale'!M1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Scale'!$Q$2:$Q$14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</c:numCache>
            </c:numRef>
          </c:xVal>
          <c:yVal>
            <c:numRef>
              <c:f>'Length Scale'!$M$2:$M$14</c:f>
              <c:numCache>
                <c:formatCode>General</c:formatCode>
                <c:ptCount val="13"/>
                <c:pt idx="0">
                  <c:v>2.2466721307404</c:v>
                </c:pt>
                <c:pt idx="1">
                  <c:v>63.6496704534924</c:v>
                </c:pt>
                <c:pt idx="2">
                  <c:v>0.000913333097555377</c:v>
                </c:pt>
                <c:pt idx="3">
                  <c:v>3.12981232477915E-005</c:v>
                </c:pt>
                <c:pt idx="4">
                  <c:v>0.000133084869412245</c:v>
                </c:pt>
                <c:pt idx="5">
                  <c:v>0.000922996182167085</c:v>
                </c:pt>
                <c:pt idx="6">
                  <c:v>0.000788566414526895</c:v>
                </c:pt>
                <c:pt idx="7">
                  <c:v>0.0266044688517496</c:v>
                </c:pt>
                <c:pt idx="8">
                  <c:v>6.51166412050152E-005</c:v>
                </c:pt>
                <c:pt idx="9">
                  <c:v>0.000505838248904819</c:v>
                </c:pt>
                <c:pt idx="10">
                  <c:v>0.00224303987684544</c:v>
                </c:pt>
                <c:pt idx="11">
                  <c:v>0.00225243028316974</c:v>
                </c:pt>
                <c:pt idx="12">
                  <c:v>0.236814109742877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'Length Scale'!N1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Scale'!$Q$2:$Q$14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</c:numCache>
            </c:numRef>
          </c:xVal>
          <c:yVal>
            <c:numRef>
              <c:f>'Length Scale'!$N$2:$N$14</c:f>
              <c:numCache>
                <c:formatCode>General</c:formatCode>
                <c:ptCount val="13"/>
                <c:pt idx="0">
                  <c:v>0.000408310172124023</c:v>
                </c:pt>
                <c:pt idx="1">
                  <c:v>0.00163229798847434</c:v>
                </c:pt>
                <c:pt idx="2">
                  <c:v>0.00116826235716872</c:v>
                </c:pt>
                <c:pt idx="3">
                  <c:v>0.000136369795351736</c:v>
                </c:pt>
                <c:pt idx="4">
                  <c:v>0.000914336232663497</c:v>
                </c:pt>
                <c:pt idx="5">
                  <c:v>0.00106527710371059</c:v>
                </c:pt>
                <c:pt idx="6">
                  <c:v>0.00251707071189837</c:v>
                </c:pt>
                <c:pt idx="7">
                  <c:v>0.00327075586203662</c:v>
                </c:pt>
                <c:pt idx="8">
                  <c:v>0.000215958073207882</c:v>
                </c:pt>
                <c:pt idx="9">
                  <c:v>0.000808057021705129</c:v>
                </c:pt>
                <c:pt idx="10">
                  <c:v>0.00532535748891405</c:v>
                </c:pt>
                <c:pt idx="11">
                  <c:v>0.0115820420956728</c:v>
                </c:pt>
                <c:pt idx="12">
                  <c:v>2.13420864551639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'Length Scale'!O1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Scale'!$Q$2:$Q$14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</c:numCache>
            </c:numRef>
          </c:xVal>
          <c:yVal>
            <c:numRef>
              <c:f>'Length Scale'!$O$2:$O$14</c:f>
              <c:numCache>
                <c:formatCode>General</c:formatCode>
                <c:ptCount val="13"/>
                <c:pt idx="0">
                  <c:v>4.00947164088529E-005</c:v>
                </c:pt>
                <c:pt idx="1">
                  <c:v>0.000160527487017003</c:v>
                </c:pt>
                <c:pt idx="2">
                  <c:v>0.000793035469487266</c:v>
                </c:pt>
                <c:pt idx="3">
                  <c:v>1.63707757245319E-005</c:v>
                </c:pt>
                <c:pt idx="4">
                  <c:v>0.00021790372461829</c:v>
                </c:pt>
                <c:pt idx="5">
                  <c:v>0.000425348468866177</c:v>
                </c:pt>
                <c:pt idx="6">
                  <c:v>0.00115296665012195</c:v>
                </c:pt>
                <c:pt idx="7">
                  <c:v>0.00242869028562868</c:v>
                </c:pt>
                <c:pt idx="8">
                  <c:v>4.32509710277891E-005</c:v>
                </c:pt>
                <c:pt idx="9">
                  <c:v>0.000233853245919728</c:v>
                </c:pt>
                <c:pt idx="10">
                  <c:v>0.00384230325844323</c:v>
                </c:pt>
                <c:pt idx="11">
                  <c:v>0.00140475054606204</c:v>
                </c:pt>
                <c:pt idx="12">
                  <c:v>0.0591619139002343</c:v>
                </c:pt>
              </c:numCache>
            </c:numRef>
          </c:yVal>
          <c:smooth val="0"/>
        </c:ser>
        <c:axId val="17836097"/>
        <c:axId val="51062328"/>
      </c:scatterChart>
      <c:valAx>
        <c:axId val="1783609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Inverse Length Scale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62328"/>
        <c:crosses val="autoZero"/>
        <c:crossBetween val="midCat"/>
      </c:valAx>
      <c:valAx>
        <c:axId val="5106232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83609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Stencil Nodes: Relative Errors &amp; Residuals vs num_stencil_nodes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Nodes'!$K$2:$K$13</c:f>
              <c:numCache>
                <c:formatCode>General</c:formatCode>
                <c:ptCount val="12"/>
                <c:pt idx="0">
                  <c:v>9.3787105258869E-005</c:v>
                </c:pt>
                <c:pt idx="1">
                  <c:v>2.39972824742825E-005</c:v>
                </c:pt>
                <c:pt idx="2">
                  <c:v>0.00063925104540193</c:v>
                </c:pt>
                <c:pt idx="3">
                  <c:v>8.91619763456752E-005</c:v>
                </c:pt>
                <c:pt idx="4">
                  <c:v>6.7650604836859E-005</c:v>
                </c:pt>
                <c:pt idx="5">
                  <c:v>0.00017377352292236</c:v>
                </c:pt>
                <c:pt idx="6">
                  <c:v>0.00263380626674333</c:v>
                </c:pt>
                <c:pt idx="7">
                  <c:v>0.000191394862625464</c:v>
                </c:pt>
                <c:pt idx="8">
                  <c:v>0.000383228957183827</c:v>
                </c:pt>
                <c:pt idx="9">
                  <c:v>0.00067981214185527</c:v>
                </c:pt>
                <c:pt idx="10">
                  <c:v>0.000605317117248649</c:v>
                </c:pt>
                <c:pt idx="11">
                  <c:v>6.02993045082378E-005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'Stencil Nodes'!L1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Nodes'!$L$2:$L$13</c:f>
              <c:numCache>
                <c:formatCode>General</c:formatCode>
                <c:ptCount val="12"/>
                <c:pt idx="0">
                  <c:v>1.77546756044608E-005</c:v>
                </c:pt>
                <c:pt idx="1">
                  <c:v>1.13292898460497E-005</c:v>
                </c:pt>
                <c:pt idx="2">
                  <c:v>0.000255452066091981</c:v>
                </c:pt>
                <c:pt idx="3">
                  <c:v>5.0386542318672E-005</c:v>
                </c:pt>
                <c:pt idx="4">
                  <c:v>4.96960658262E-005</c:v>
                </c:pt>
                <c:pt idx="5">
                  <c:v>8.58194100858331E-005</c:v>
                </c:pt>
                <c:pt idx="6">
                  <c:v>0.00079699362568785</c:v>
                </c:pt>
                <c:pt idx="7">
                  <c:v>0.000133583377591315</c:v>
                </c:pt>
                <c:pt idx="8">
                  <c:v>0.000208897744953103</c:v>
                </c:pt>
                <c:pt idx="9">
                  <c:v>0.000363039802240118</c:v>
                </c:pt>
                <c:pt idx="10">
                  <c:v>0.000245264850817417</c:v>
                </c:pt>
                <c:pt idx="11">
                  <c:v>2.33771616228179E-005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'Stencil Nodes'!M1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Nodes'!$M$2:$M$13</c:f>
              <c:numCache>
                <c:formatCode>General</c:formatCode>
                <c:ptCount val="12"/>
                <c:pt idx="0">
                  <c:v>0.000211745044488701</c:v>
                </c:pt>
                <c:pt idx="1">
                  <c:v>0.000267742274172936</c:v>
                </c:pt>
                <c:pt idx="2">
                  <c:v>0.00189110455216367</c:v>
                </c:pt>
                <c:pt idx="3">
                  <c:v>0.000890235728741264</c:v>
                </c:pt>
                <c:pt idx="4">
                  <c:v>0.000299273883419471</c:v>
                </c:pt>
                <c:pt idx="5">
                  <c:v>0.000715945058743582</c:v>
                </c:pt>
                <c:pt idx="6">
                  <c:v>0.00798782389770921</c:v>
                </c:pt>
                <c:pt idx="7">
                  <c:v>0.000788566414526895</c:v>
                </c:pt>
                <c:pt idx="8">
                  <c:v>0.00117262532475777</c:v>
                </c:pt>
                <c:pt idx="9">
                  <c:v>0.00280578152742834</c:v>
                </c:pt>
                <c:pt idx="10">
                  <c:v>0.00151589065249281</c:v>
                </c:pt>
                <c:pt idx="11">
                  <c:v>0.000140194132185533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'Stencil Nodes'!N1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Nodes'!$N$2:$N$13</c:f>
              <c:numCache>
                <c:formatCode>General</c:formatCode>
                <c:ptCount val="12"/>
                <c:pt idx="0">
                  <c:v>0.0113671032177649</c:v>
                </c:pt>
                <c:pt idx="1">
                  <c:v>0.000510621636938898</c:v>
                </c:pt>
                <c:pt idx="2">
                  <c:v>0.00141781842256705</c:v>
                </c:pt>
                <c:pt idx="3">
                  <c:v>0.00149520446399265</c:v>
                </c:pt>
                <c:pt idx="4">
                  <c:v>0.0010723237652807</c:v>
                </c:pt>
                <c:pt idx="5">
                  <c:v>0.00168501176972313</c:v>
                </c:pt>
                <c:pt idx="6">
                  <c:v>0.00202866208485375</c:v>
                </c:pt>
                <c:pt idx="7">
                  <c:v>0.00251707071189837</c:v>
                </c:pt>
                <c:pt idx="8">
                  <c:v>0.00255821972691213</c:v>
                </c:pt>
                <c:pt idx="9">
                  <c:v>0.0026944007405613</c:v>
                </c:pt>
                <c:pt idx="10">
                  <c:v>0.00332451418236701</c:v>
                </c:pt>
                <c:pt idx="11">
                  <c:v>0.000658275819716891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'Stencil Nodes'!O1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Nodes'!$O$2:$O$13</c:f>
              <c:numCache>
                <c:formatCode>General</c:formatCode>
                <c:ptCount val="12"/>
                <c:pt idx="0">
                  <c:v>0.00140466542953726</c:v>
                </c:pt>
                <c:pt idx="1">
                  <c:v>0.000104133719272574</c:v>
                </c:pt>
                <c:pt idx="2">
                  <c:v>0.000383961632012703</c:v>
                </c:pt>
                <c:pt idx="3">
                  <c:v>0.000361513085266013</c:v>
                </c:pt>
                <c:pt idx="4">
                  <c:v>0.000470664326584901</c:v>
                </c:pt>
                <c:pt idx="5">
                  <c:v>0.00067550950138701</c:v>
                </c:pt>
                <c:pt idx="6">
                  <c:v>0.000883484703207716</c:v>
                </c:pt>
                <c:pt idx="7">
                  <c:v>0.00115296665012195</c:v>
                </c:pt>
                <c:pt idx="8">
                  <c:v>0.00153919000332197</c:v>
                </c:pt>
                <c:pt idx="9">
                  <c:v>0.00183395692530437</c:v>
                </c:pt>
                <c:pt idx="10">
                  <c:v>0.001557698468968</c:v>
                </c:pt>
                <c:pt idx="11">
                  <c:v>6.93997263071305E-005</c:v>
                </c:pt>
              </c:numCache>
            </c:numRef>
          </c:yVal>
          <c:smooth val="0"/>
        </c:ser>
        <c:axId val="67494040"/>
        <c:axId val="90855049"/>
      </c:scatterChart>
      <c:valAx>
        <c:axId val="6749404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num_stencil_nodes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855049"/>
        <c:crosses val="autoZero"/>
        <c:crossBetween val="midCat"/>
      </c:valAx>
      <c:valAx>
        <c:axId val="90855049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49404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Center Rings: Relative Errors &amp; Residuals vs num_rings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Rings'!$K$2:$K$9</c:f>
              <c:numCache>
                <c:formatCode>General</c:formatCode>
                <c:ptCount val="8"/>
                <c:pt idx="0">
                  <c:v>0.00020662911704239</c:v>
                </c:pt>
                <c:pt idx="1">
                  <c:v>0.000170045027629554</c:v>
                </c:pt>
                <c:pt idx="2">
                  <c:v>0.000192230130201754</c:v>
                </c:pt>
                <c:pt idx="3">
                  <c:v>0.000340016950324854</c:v>
                </c:pt>
                <c:pt idx="4">
                  <c:v>0.000216665869681535</c:v>
                </c:pt>
                <c:pt idx="5">
                  <c:v>0.000191394862625464</c:v>
                </c:pt>
                <c:pt idx="6">
                  <c:v>0.00017650995868627</c:v>
                </c:pt>
                <c:pt idx="7">
                  <c:v>0.000193671688451487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'Center Rings'!L1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Rings'!$L$2:$L$9</c:f>
              <c:numCache>
                <c:formatCode>General</c:formatCode>
                <c:ptCount val="8"/>
                <c:pt idx="0">
                  <c:v>0.000132360292936313</c:v>
                </c:pt>
                <c:pt idx="1">
                  <c:v>0.000131471028307171</c:v>
                </c:pt>
                <c:pt idx="2">
                  <c:v>0.000131028592264372</c:v>
                </c:pt>
                <c:pt idx="3">
                  <c:v>0.000182623239341165</c:v>
                </c:pt>
                <c:pt idx="4">
                  <c:v>0.000147138905421054</c:v>
                </c:pt>
                <c:pt idx="5">
                  <c:v>0.000133583377591315</c:v>
                </c:pt>
                <c:pt idx="6">
                  <c:v>0.000134840817862804</c:v>
                </c:pt>
                <c:pt idx="7">
                  <c:v>0.000131691484414276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'Center Rings'!M1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Rings'!$M$2:$M$9</c:f>
              <c:numCache>
                <c:formatCode>General</c:formatCode>
                <c:ptCount val="8"/>
                <c:pt idx="0">
                  <c:v>0.000856577826757198</c:v>
                </c:pt>
                <c:pt idx="1">
                  <c:v>0.000695829550532383</c:v>
                </c:pt>
                <c:pt idx="2">
                  <c:v>0.000753823802297311</c:v>
                </c:pt>
                <c:pt idx="3">
                  <c:v>0.00231084365702468</c:v>
                </c:pt>
                <c:pt idx="4">
                  <c:v>0.000988912627742451</c:v>
                </c:pt>
                <c:pt idx="5">
                  <c:v>0.000788566414526895</c:v>
                </c:pt>
                <c:pt idx="6">
                  <c:v>0.000713826491116675</c:v>
                </c:pt>
                <c:pt idx="7">
                  <c:v>0.000894987638276081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'Center Rings'!N1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Rings'!$N$2:$N$9</c:f>
              <c:numCache>
                <c:formatCode>General</c:formatCode>
                <c:ptCount val="8"/>
                <c:pt idx="0">
                  <c:v>0.00194550376068037</c:v>
                </c:pt>
                <c:pt idx="1">
                  <c:v>0.00192679364446728</c:v>
                </c:pt>
                <c:pt idx="2">
                  <c:v>0.0021421290125924</c:v>
                </c:pt>
                <c:pt idx="3">
                  <c:v>0.00214131851240988</c:v>
                </c:pt>
                <c:pt idx="4">
                  <c:v>0.00253093736440254</c:v>
                </c:pt>
                <c:pt idx="5">
                  <c:v>0.00251707071189837</c:v>
                </c:pt>
                <c:pt idx="6">
                  <c:v>0.00250889927254624</c:v>
                </c:pt>
                <c:pt idx="7">
                  <c:v>0.00250350058039809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'Center Rings'!O1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Rings'!$O$2:$O$9</c:f>
              <c:numCache>
                <c:formatCode>General</c:formatCode>
                <c:ptCount val="8"/>
                <c:pt idx="0">
                  <c:v>0.00108282946325831</c:v>
                </c:pt>
                <c:pt idx="1">
                  <c:v>0.00111111045690733</c:v>
                </c:pt>
                <c:pt idx="2">
                  <c:v>0.00111841429943365</c:v>
                </c:pt>
                <c:pt idx="3">
                  <c:v>0.00112074164441053</c:v>
                </c:pt>
                <c:pt idx="4">
                  <c:v>0.00115193617839194</c:v>
                </c:pt>
                <c:pt idx="5">
                  <c:v>0.00115296665012195</c:v>
                </c:pt>
                <c:pt idx="6">
                  <c:v>0.00115292283366408</c:v>
                </c:pt>
                <c:pt idx="7">
                  <c:v>0.00115255933277613</c:v>
                </c:pt>
              </c:numCache>
            </c:numRef>
          </c:yVal>
          <c:smooth val="0"/>
        </c:ser>
        <c:axId val="76745299"/>
        <c:axId val="53009179"/>
      </c:scatterChart>
      <c:valAx>
        <c:axId val="7674529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num_rings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009179"/>
        <c:crosses val="autoZero"/>
        <c:crossBetween val="midCat"/>
      </c:valAx>
      <c:valAx>
        <c:axId val="53009179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74529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Eigenvalue Ratio: Relative Errors &amp; Residuals vs eig_2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Ratio'!$K$2:$K$14</c:f>
              <c:numCache>
                <c:formatCode>General</c:formatCode>
                <c:ptCount val="13"/>
                <c:pt idx="0">
                  <c:v>0.000111902147003296</c:v>
                </c:pt>
                <c:pt idx="1">
                  <c:v>0.000124786407307509</c:v>
                </c:pt>
                <c:pt idx="2">
                  <c:v>0.000106887928012093</c:v>
                </c:pt>
                <c:pt idx="3">
                  <c:v>0.000127289854585433</c:v>
                </c:pt>
                <c:pt idx="4">
                  <c:v>0.000314625389068605</c:v>
                </c:pt>
                <c:pt idx="5">
                  <c:v>0.000518502576655866</c:v>
                </c:pt>
                <c:pt idx="6">
                  <c:v>0.000182596803925517</c:v>
                </c:pt>
                <c:pt idx="7">
                  <c:v>0.000191394862625464</c:v>
                </c:pt>
                <c:pt idx="8">
                  <c:v>0.000204540327766771</c:v>
                </c:pt>
                <c:pt idx="9">
                  <c:v>0.000204171004041983</c:v>
                </c:pt>
                <c:pt idx="10">
                  <c:v>0.000197628179977224</c:v>
                </c:pt>
                <c:pt idx="11">
                  <c:v>0.000196096580972564</c:v>
                </c:pt>
                <c:pt idx="12">
                  <c:v>0.000194581047444113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'Eigenvalue Ratio'!L1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Ratio'!$L$2:$L$14</c:f>
              <c:numCache>
                <c:formatCode>General</c:formatCode>
                <c:ptCount val="13"/>
                <c:pt idx="0">
                  <c:v>0.000102119802652743</c:v>
                </c:pt>
                <c:pt idx="1">
                  <c:v>0.000107223465949508</c:v>
                </c:pt>
                <c:pt idx="2">
                  <c:v>0.000107111940023227</c:v>
                </c:pt>
                <c:pt idx="3">
                  <c:v>0.000108252132109314</c:v>
                </c:pt>
                <c:pt idx="4">
                  <c:v>0.000175793476088885</c:v>
                </c:pt>
                <c:pt idx="5">
                  <c:v>0.000248062181603172</c:v>
                </c:pt>
                <c:pt idx="6">
                  <c:v>0.000133235573981984</c:v>
                </c:pt>
                <c:pt idx="7">
                  <c:v>0.000133583377591315</c:v>
                </c:pt>
                <c:pt idx="8">
                  <c:v>0.00013386134089137</c:v>
                </c:pt>
                <c:pt idx="9">
                  <c:v>0.000134327380152139</c:v>
                </c:pt>
                <c:pt idx="10">
                  <c:v>0.000135934718123704</c:v>
                </c:pt>
                <c:pt idx="11">
                  <c:v>0.000136328602950047</c:v>
                </c:pt>
                <c:pt idx="12">
                  <c:v>0.000136676489734298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'Eigenvalue Ratio'!M1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Ratio'!$M$2:$M$14</c:f>
              <c:numCache>
                <c:formatCode>General</c:formatCode>
                <c:ptCount val="13"/>
                <c:pt idx="0">
                  <c:v>0.000301382824450203</c:v>
                </c:pt>
                <c:pt idx="1">
                  <c:v>0.0003808994610007</c:v>
                </c:pt>
                <c:pt idx="2">
                  <c:v>0.00033332822849101</c:v>
                </c:pt>
                <c:pt idx="3">
                  <c:v>0.000447856974532877</c:v>
                </c:pt>
                <c:pt idx="4">
                  <c:v>0.00206725862900005</c:v>
                </c:pt>
                <c:pt idx="5">
                  <c:v>0.00317192408573502</c:v>
                </c:pt>
                <c:pt idx="6">
                  <c:v>0.000707507218145002</c:v>
                </c:pt>
                <c:pt idx="7">
                  <c:v>0.000788566414526895</c:v>
                </c:pt>
                <c:pt idx="8">
                  <c:v>0.000834470611110988</c:v>
                </c:pt>
                <c:pt idx="9">
                  <c:v>0.000857976101933859</c:v>
                </c:pt>
                <c:pt idx="10">
                  <c:v>0.000923749881653613</c:v>
                </c:pt>
                <c:pt idx="11">
                  <c:v>0.000937331305883008</c:v>
                </c:pt>
                <c:pt idx="12">
                  <c:v>0.000948986817059032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'Eigenvalue Ratio'!N1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Ratio'!$N$2:$N$14</c:f>
              <c:numCache>
                <c:formatCode>General</c:formatCode>
                <c:ptCount val="13"/>
                <c:pt idx="0">
                  <c:v>0.0258411597318021</c:v>
                </c:pt>
                <c:pt idx="1">
                  <c:v>0.01270262888526</c:v>
                </c:pt>
                <c:pt idx="2">
                  <c:v>0.00299309687678336</c:v>
                </c:pt>
                <c:pt idx="3">
                  <c:v>0.00248438235341079</c:v>
                </c:pt>
                <c:pt idx="4">
                  <c:v>0.00247716107314015</c:v>
                </c:pt>
                <c:pt idx="5">
                  <c:v>0.00249817364393342</c:v>
                </c:pt>
                <c:pt idx="6">
                  <c:v>0.00251497236805183</c:v>
                </c:pt>
                <c:pt idx="7">
                  <c:v>0.00251707071189837</c:v>
                </c:pt>
                <c:pt idx="8">
                  <c:v>0.00251875956682094</c:v>
                </c:pt>
                <c:pt idx="9">
                  <c:v>0.00251896568363463</c:v>
                </c:pt>
                <c:pt idx="10">
                  <c:v>0.00251913563499784</c:v>
                </c:pt>
                <c:pt idx="11">
                  <c:v>0.00251915059929312</c:v>
                </c:pt>
                <c:pt idx="12">
                  <c:v>0.00251917176827495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'Eigenvalue Ratio'!O1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Ratio'!$O$2:$O$14</c:f>
              <c:numCache>
                <c:formatCode>General</c:formatCode>
                <c:ptCount val="13"/>
                <c:pt idx="0">
                  <c:v>0.0113740428174485</c:v>
                </c:pt>
                <c:pt idx="1">
                  <c:v>0.00620611196466046</c:v>
                </c:pt>
                <c:pt idx="2">
                  <c:v>0.00211324814808053</c:v>
                </c:pt>
                <c:pt idx="3">
                  <c:v>0.00161990652921544</c:v>
                </c:pt>
                <c:pt idx="4">
                  <c:v>0.00123977555826856</c:v>
                </c:pt>
                <c:pt idx="5">
                  <c:v>0.00119386233094003</c:v>
                </c:pt>
                <c:pt idx="6">
                  <c:v>0.00115748919369749</c:v>
                </c:pt>
                <c:pt idx="7">
                  <c:v>0.00115296665012195</c:v>
                </c:pt>
                <c:pt idx="8">
                  <c:v>0.00114935251968026</c:v>
                </c:pt>
                <c:pt idx="9">
                  <c:v>0.00114890109263437</c:v>
                </c:pt>
                <c:pt idx="10">
                  <c:v>0.00114853986352769</c:v>
                </c:pt>
                <c:pt idx="11">
                  <c:v>0.00114849473411905</c:v>
                </c:pt>
                <c:pt idx="12">
                  <c:v>0.00114845859673018</c:v>
                </c:pt>
              </c:numCache>
            </c:numRef>
          </c:yVal>
          <c:smooth val="0"/>
        </c:ser>
        <c:axId val="45398182"/>
        <c:axId val="57766313"/>
      </c:scatterChart>
      <c:valAx>
        <c:axId val="4539818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eig_2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766313"/>
        <c:crosses val="autoZero"/>
        <c:crossBetween val="midCat"/>
      </c:valAx>
      <c:valAx>
        <c:axId val="5776631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39818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Eigenvector Angle: Relative Errors &amp; Residuals vs rad24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Angle'!$K$2:$K$10</c:f>
              <c:numCache>
                <c:formatCode>General</c:formatCode>
                <c:ptCount val="9"/>
                <c:pt idx="0">
                  <c:v>0.000187472225026575</c:v>
                </c:pt>
                <c:pt idx="1">
                  <c:v>0.0011412520305687</c:v>
                </c:pt>
                <c:pt idx="2">
                  <c:v>0.00617173752418639</c:v>
                </c:pt>
                <c:pt idx="3">
                  <c:v>0.00343786249236796</c:v>
                </c:pt>
                <c:pt idx="4">
                  <c:v>0.000191394862625464</c:v>
                </c:pt>
                <c:pt idx="5">
                  <c:v>0.000198800896602069</c:v>
                </c:pt>
                <c:pt idx="6">
                  <c:v>0.000707438455183803</c:v>
                </c:pt>
                <c:pt idx="7">
                  <c:v>0.000198985056109491</c:v>
                </c:pt>
                <c:pt idx="8">
                  <c:v>0.000187479106331582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'Eigenvector Angle'!L1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Angle'!$L$2:$L$10</c:f>
              <c:numCache>
                <c:formatCode>General</c:formatCode>
                <c:ptCount val="9"/>
                <c:pt idx="0">
                  <c:v>0.000123018568799847</c:v>
                </c:pt>
                <c:pt idx="1">
                  <c:v>0.000265962409968569</c:v>
                </c:pt>
                <c:pt idx="2">
                  <c:v>0.000599723253476883</c:v>
                </c:pt>
                <c:pt idx="3">
                  <c:v>0.000470322203467008</c:v>
                </c:pt>
                <c:pt idx="4">
                  <c:v>0.000133583377591315</c:v>
                </c:pt>
                <c:pt idx="5">
                  <c:v>0.000141045675970399</c:v>
                </c:pt>
                <c:pt idx="6">
                  <c:v>0.000171550642947133</c:v>
                </c:pt>
                <c:pt idx="7">
                  <c:v>0.000127645622019495</c:v>
                </c:pt>
                <c:pt idx="8">
                  <c:v>0.000123020119562737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'Eigenvector Angle'!M1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Angle'!$M$2:$M$10</c:f>
              <c:numCache>
                <c:formatCode>General</c:formatCode>
                <c:ptCount val="9"/>
                <c:pt idx="0">
                  <c:v>0.000618167641477052</c:v>
                </c:pt>
                <c:pt idx="1">
                  <c:v>0.00187688769598846</c:v>
                </c:pt>
                <c:pt idx="2">
                  <c:v>0.00447765587455761</c:v>
                </c:pt>
                <c:pt idx="3">
                  <c:v>0.00409114583232722</c:v>
                </c:pt>
                <c:pt idx="4">
                  <c:v>0.000788566414526895</c:v>
                </c:pt>
                <c:pt idx="5">
                  <c:v>0.00160634809889772</c:v>
                </c:pt>
                <c:pt idx="6">
                  <c:v>0.0024161991685239</c:v>
                </c:pt>
                <c:pt idx="7">
                  <c:v>0.000763568624095969</c:v>
                </c:pt>
                <c:pt idx="8">
                  <c:v>0.000618202599283781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'Eigenvector Angle'!N1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Angle'!$N$2:$N$10</c:f>
              <c:numCache>
                <c:formatCode>General</c:formatCode>
                <c:ptCount val="9"/>
                <c:pt idx="0">
                  <c:v>0.00262553737672685</c:v>
                </c:pt>
                <c:pt idx="1">
                  <c:v>0.00189201023484283</c:v>
                </c:pt>
                <c:pt idx="2">
                  <c:v>0.00191832144578874</c:v>
                </c:pt>
                <c:pt idx="3">
                  <c:v>0.00193143833490761</c:v>
                </c:pt>
                <c:pt idx="4">
                  <c:v>0.00251707071189837</c:v>
                </c:pt>
                <c:pt idx="5">
                  <c:v>0.00177355593241265</c:v>
                </c:pt>
                <c:pt idx="6">
                  <c:v>0.00154369446049111</c:v>
                </c:pt>
                <c:pt idx="7">
                  <c:v>0.00185234274554362</c:v>
                </c:pt>
                <c:pt idx="8">
                  <c:v>0.00262553739063454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'Eigenvector Angle'!O1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Angle'!$O$2:$O$10</c:f>
              <c:numCache>
                <c:formatCode>General</c:formatCode>
                <c:ptCount val="9"/>
                <c:pt idx="0">
                  <c:v>0.00628093293614503</c:v>
                </c:pt>
                <c:pt idx="1">
                  <c:v>0.00347413312370363</c:v>
                </c:pt>
                <c:pt idx="2">
                  <c:v>0.002033561663792</c:v>
                </c:pt>
                <c:pt idx="3">
                  <c:v>0.00144870434734157</c:v>
                </c:pt>
                <c:pt idx="4">
                  <c:v>0.00115296665012195</c:v>
                </c:pt>
                <c:pt idx="5">
                  <c:v>0.00144965008575732</c:v>
                </c:pt>
                <c:pt idx="6">
                  <c:v>0.00203482589844472</c:v>
                </c:pt>
                <c:pt idx="7">
                  <c:v>0.00347549477327003</c:v>
                </c:pt>
                <c:pt idx="8">
                  <c:v>0.00628093295397879</c:v>
                </c:pt>
              </c:numCache>
            </c:numRef>
          </c:yVal>
          <c:smooth val="0"/>
        </c:ser>
        <c:axId val="63544890"/>
        <c:axId val="27692174"/>
      </c:scatterChart>
      <c:valAx>
        <c:axId val="6354489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rad24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692174"/>
        <c:crosses val="autoZero"/>
        <c:crossBetween val="midCat"/>
      </c:valAx>
      <c:valAx>
        <c:axId val="27692174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54489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0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1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2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3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4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5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20</v>
      </c>
      <c r="B2" s="0" t="n">
        <v>20</v>
      </c>
      <c r="C2" s="0" t="n">
        <v>3</v>
      </c>
      <c r="D2" s="0" t="n">
        <v>100</v>
      </c>
      <c r="E2" s="0" t="n">
        <v>10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8.3899910730878E-005</v>
      </c>
      <c r="L2" s="0" t="n">
        <v>4.54260122815515E-005</v>
      </c>
      <c r="M2" s="0" t="n">
        <v>0.0723827758344357</v>
      </c>
      <c r="N2" s="0" t="n">
        <v>0.0399992383318022</v>
      </c>
      <c r="O2" s="0" t="n">
        <v>0.00389381155876291</v>
      </c>
      <c r="P2" s="0" t="s">
        <v>17</v>
      </c>
      <c r="Q2" s="0" t="n">
        <v>20</v>
      </c>
    </row>
    <row r="3" customFormat="false" ht="14.25" hidden="false" customHeight="false" outlineLevel="0" collapsed="false">
      <c r="A3" s="0" t="n">
        <v>30</v>
      </c>
      <c r="B3" s="0" t="n">
        <v>30</v>
      </c>
      <c r="C3" s="0" t="n">
        <v>3</v>
      </c>
      <c r="D3" s="0" t="n">
        <v>100</v>
      </c>
      <c r="E3" s="0" t="n">
        <v>10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0.000707658401469876</v>
      </c>
      <c r="L3" s="0" t="n">
        <v>0.000352026883258469</v>
      </c>
      <c r="M3" s="0" t="n">
        <v>0.0161681314670411</v>
      </c>
      <c r="N3" s="0" t="n">
        <v>0.00118434516892307</v>
      </c>
      <c r="O3" s="0" t="n">
        <v>0.000183344177900435</v>
      </c>
      <c r="P3" s="0" t="s">
        <v>17</v>
      </c>
      <c r="Q3" s="0" t="n">
        <v>30</v>
      </c>
    </row>
    <row r="4" customFormat="false" ht="14.25" hidden="false" customHeight="false" outlineLevel="0" collapsed="false">
      <c r="A4" s="0" t="n">
        <v>50</v>
      </c>
      <c r="B4" s="0" t="n">
        <v>50</v>
      </c>
      <c r="C4" s="0" t="n">
        <v>3</v>
      </c>
      <c r="D4" s="0" t="n">
        <v>100</v>
      </c>
      <c r="E4" s="0" t="n">
        <v>10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3.05714342874926E-005</v>
      </c>
      <c r="L4" s="0" t="n">
        <v>2.37326371907819E-005</v>
      </c>
      <c r="M4" s="0" t="n">
        <v>0.000119055702079394</v>
      </c>
      <c r="N4" s="0" t="n">
        <v>0.000458492509835651</v>
      </c>
      <c r="O4" s="0" t="n">
        <v>0.000209755847403166</v>
      </c>
      <c r="P4" s="0" t="s">
        <v>17</v>
      </c>
      <c r="Q4" s="0" t="n">
        <v>50</v>
      </c>
    </row>
    <row r="5" customFormat="false" ht="14.25" hidden="false" customHeight="false" outlineLevel="0" collapsed="false">
      <c r="A5" s="0" t="n">
        <v>75</v>
      </c>
      <c r="B5" s="0" t="n">
        <v>75</v>
      </c>
      <c r="C5" s="0" t="n">
        <v>3</v>
      </c>
      <c r="D5" s="0" t="n">
        <v>100</v>
      </c>
      <c r="E5" s="0" t="n">
        <v>10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7.49339899700866E-006</v>
      </c>
      <c r="L5" s="0" t="n">
        <v>3.76195015948038E-006</v>
      </c>
      <c r="M5" s="0" t="n">
        <v>4.41125535253364E-005</v>
      </c>
      <c r="N5" s="0" t="n">
        <v>0.00021345662843449</v>
      </c>
      <c r="O5" s="0" t="n">
        <v>2.72680331214855E-005</v>
      </c>
      <c r="P5" s="0" t="s">
        <v>17</v>
      </c>
      <c r="Q5" s="0" t="n">
        <v>75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3</v>
      </c>
      <c r="D6" s="0" t="n">
        <v>100</v>
      </c>
      <c r="E6" s="0" t="n">
        <v>10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0.000191394862625464</v>
      </c>
      <c r="L6" s="0" t="n">
        <v>0.000133583377591315</v>
      </c>
      <c r="M6" s="0" t="n">
        <v>0.000788566414526895</v>
      </c>
      <c r="N6" s="0" t="n">
        <v>0.00251707071189837</v>
      </c>
      <c r="O6" s="0" t="n">
        <v>0.00115296665012195</v>
      </c>
      <c r="P6" s="0" t="s">
        <v>17</v>
      </c>
      <c r="Q6" s="0" t="n">
        <v>100</v>
      </c>
    </row>
    <row r="7" customFormat="false" ht="14.25" hidden="false" customHeight="false" outlineLevel="0" collapsed="false">
      <c r="A7" s="0" t="n">
        <v>125</v>
      </c>
      <c r="B7" s="0" t="n">
        <v>125</v>
      </c>
      <c r="C7" s="0" t="n">
        <v>3</v>
      </c>
      <c r="D7" s="0" t="n">
        <v>100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0.000252691603548646</v>
      </c>
      <c r="L7" s="0" t="n">
        <v>0.000129017068978614</v>
      </c>
      <c r="M7" s="0" t="n">
        <v>0.0014392732726975</v>
      </c>
      <c r="N7" s="0" t="n">
        <v>0.00168595086597634</v>
      </c>
      <c r="O7" s="0" t="n">
        <v>0.000496867819836302</v>
      </c>
      <c r="P7" s="0" t="s">
        <v>17</v>
      </c>
      <c r="Q7" s="0" t="n">
        <v>125</v>
      </c>
    </row>
    <row r="8" customFormat="false" ht="14.25" hidden="false" customHeight="false" outlineLevel="0" collapsed="false">
      <c r="A8" s="0" t="n">
        <v>150</v>
      </c>
      <c r="B8" s="0" t="n">
        <v>150</v>
      </c>
      <c r="C8" s="0" t="n">
        <v>3</v>
      </c>
      <c r="D8" s="0" t="n">
        <v>100</v>
      </c>
      <c r="E8" s="0" t="n">
        <v>10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8.78673821761433E-005</v>
      </c>
      <c r="L8" s="0" t="n">
        <v>4.47867178172519E-005</v>
      </c>
      <c r="M8" s="0" t="n">
        <v>0.000324685446664561</v>
      </c>
      <c r="N8" s="0" t="n">
        <v>0.00145937804041788</v>
      </c>
      <c r="O8" s="0" t="n">
        <v>0.000325633346334334</v>
      </c>
      <c r="P8" s="0" t="s">
        <v>17</v>
      </c>
      <c r="Q8" s="0" t="n">
        <v>150</v>
      </c>
    </row>
    <row r="9" customFormat="false" ht="14.25" hidden="false" customHeight="false" outlineLevel="0" collapsed="false">
      <c r="A9" s="0" t="n">
        <v>175</v>
      </c>
      <c r="B9" s="0" t="n">
        <v>175</v>
      </c>
      <c r="C9" s="0" t="n">
        <v>3</v>
      </c>
      <c r="D9" s="0" t="n">
        <v>100</v>
      </c>
      <c r="E9" s="0" t="n">
        <v>10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0.000244450499400288</v>
      </c>
      <c r="L9" s="0" t="n">
        <v>9.65742162383701E-005</v>
      </c>
      <c r="M9" s="0" t="n">
        <v>0.000966596215013624</v>
      </c>
      <c r="N9" s="0" t="n">
        <v>0.00129984632826563</v>
      </c>
      <c r="O9" s="0" t="n">
        <v>0.000184722214246696</v>
      </c>
      <c r="P9" s="0" t="s">
        <v>17</v>
      </c>
      <c r="Q9" s="0" t="n">
        <v>175</v>
      </c>
    </row>
    <row r="10" customFormat="false" ht="14.25" hidden="false" customHeight="false" outlineLevel="0" collapsed="false">
      <c r="A10" s="0" t="n">
        <v>200</v>
      </c>
      <c r="B10" s="0" t="n">
        <v>200</v>
      </c>
      <c r="C10" s="0" t="n">
        <v>3</v>
      </c>
      <c r="D10" s="0" t="n">
        <v>100</v>
      </c>
      <c r="E10" s="0" t="n">
        <v>10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3.62482528889115E-005</v>
      </c>
      <c r="L10" s="0" t="n">
        <v>1.55028076429268E-005</v>
      </c>
      <c r="M10" s="0" t="n">
        <v>0.000145327667224182</v>
      </c>
      <c r="N10" s="0" t="n">
        <v>0.00277667286009849</v>
      </c>
      <c r="O10" s="0" t="n">
        <v>0.000202253469863512</v>
      </c>
      <c r="P10" s="0" t="s">
        <v>17</v>
      </c>
      <c r="Q10" s="0" t="n">
        <v>200</v>
      </c>
    </row>
    <row r="11" customFormat="false" ht="14.25" hidden="false" customHeight="false" outlineLevel="0" collapsed="false">
      <c r="A11" s="0" t="n">
        <v>250</v>
      </c>
      <c r="B11" s="0" t="n">
        <v>250</v>
      </c>
      <c r="C11" s="0" t="n">
        <v>3</v>
      </c>
      <c r="D11" s="0" t="n">
        <v>100</v>
      </c>
      <c r="E11" s="0" t="n">
        <v>10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8.79648532532788E-005</v>
      </c>
      <c r="L11" s="0" t="n">
        <v>3.68299697704804E-005</v>
      </c>
      <c r="M11" s="0" t="n">
        <v>0.000371799917382119</v>
      </c>
      <c r="N11" s="0" t="n">
        <v>0.000778272652193361</v>
      </c>
      <c r="O11" s="0" t="n">
        <v>7.09145691189395E-005</v>
      </c>
      <c r="P11" s="0" t="s">
        <v>17</v>
      </c>
      <c r="Q11" s="0" t="n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0.05</v>
      </c>
      <c r="D2" s="0" t="n">
        <v>100</v>
      </c>
      <c r="E2" s="0" t="n">
        <v>10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2.32365236711936</v>
      </c>
      <c r="L2" s="0" t="n">
        <v>1.04539152729432</v>
      </c>
      <c r="M2" s="0" t="n">
        <v>2.2466721307404</v>
      </c>
      <c r="N2" s="0" t="n">
        <v>0.000408310172124023</v>
      </c>
      <c r="O2" s="0" t="n">
        <v>4.00947164088529E-005</v>
      </c>
      <c r="P2" s="0" t="s">
        <v>18</v>
      </c>
      <c r="Q2" s="0" t="n">
        <v>0.05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0.1</v>
      </c>
      <c r="D3" s="0" t="n">
        <v>100</v>
      </c>
      <c r="E3" s="0" t="n">
        <v>10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72.2209530927041</v>
      </c>
      <c r="L3" s="0" t="n">
        <v>29.7160045050699</v>
      </c>
      <c r="M3" s="0" t="n">
        <v>63.6496704534924</v>
      </c>
      <c r="N3" s="0" t="n">
        <v>0.00163229798847434</v>
      </c>
      <c r="O3" s="0" t="n">
        <v>0.000160527487017003</v>
      </c>
      <c r="P3" s="0" t="s">
        <v>18</v>
      </c>
      <c r="Q3" s="0" t="n">
        <v>0.1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0.5</v>
      </c>
      <c r="D4" s="0" t="n">
        <v>100</v>
      </c>
      <c r="E4" s="0" t="n">
        <v>10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0.000316510650292553</v>
      </c>
      <c r="L4" s="0" t="n">
        <v>0.000164340170743294</v>
      </c>
      <c r="M4" s="0" t="n">
        <v>0.000913333097555377</v>
      </c>
      <c r="N4" s="0" t="n">
        <v>0.00116826235716872</v>
      </c>
      <c r="O4" s="0" t="n">
        <v>0.000793035469487266</v>
      </c>
      <c r="P4" s="0" t="s">
        <v>18</v>
      </c>
      <c r="Q4" s="0" t="n">
        <v>0.5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1</v>
      </c>
      <c r="D5" s="0" t="n">
        <v>100</v>
      </c>
      <c r="E5" s="0" t="n">
        <v>10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1.41843630159973E-005</v>
      </c>
      <c r="L5" s="0" t="n">
        <v>5.42402916361471E-006</v>
      </c>
      <c r="M5" s="0" t="n">
        <v>3.12981232477915E-005</v>
      </c>
      <c r="N5" s="0" t="n">
        <v>0.000136369795351736</v>
      </c>
      <c r="O5" s="0" t="n">
        <v>1.63707757245319E-005</v>
      </c>
      <c r="P5" s="0" t="s">
        <v>18</v>
      </c>
      <c r="Q5" s="0" t="n">
        <v>1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2</v>
      </c>
      <c r="D6" s="0" t="n">
        <v>100</v>
      </c>
      <c r="E6" s="0" t="n">
        <v>10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4.37303576380129E-005</v>
      </c>
      <c r="L6" s="0" t="n">
        <v>2.37176709114308E-005</v>
      </c>
      <c r="M6" s="0" t="n">
        <v>0.000133084869412245</v>
      </c>
      <c r="N6" s="0" t="n">
        <v>0.000914336232663497</v>
      </c>
      <c r="O6" s="0" t="n">
        <v>0.00021790372461829</v>
      </c>
      <c r="P6" s="0" t="s">
        <v>18</v>
      </c>
      <c r="Q6" s="0" t="n">
        <v>2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2.5</v>
      </c>
      <c r="D7" s="0" t="n">
        <v>100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0.000165938395293552</v>
      </c>
      <c r="L7" s="0" t="n">
        <v>7.89184395239421E-005</v>
      </c>
      <c r="M7" s="0" t="n">
        <v>0.000922996182167085</v>
      </c>
      <c r="N7" s="0" t="n">
        <v>0.00106527710371059</v>
      </c>
      <c r="O7" s="0" t="n">
        <v>0.000425348468866177</v>
      </c>
      <c r="P7" s="0" t="s">
        <v>18</v>
      </c>
      <c r="Q7" s="0" t="n">
        <v>2.5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100</v>
      </c>
      <c r="E8" s="0" t="n">
        <v>10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0.000191394862625464</v>
      </c>
      <c r="L8" s="0" t="n">
        <v>0.000133583377591315</v>
      </c>
      <c r="M8" s="0" t="n">
        <v>0.000788566414526895</v>
      </c>
      <c r="N8" s="0" t="n">
        <v>0.00251707071189837</v>
      </c>
      <c r="O8" s="0" t="n">
        <v>0.00115296665012195</v>
      </c>
      <c r="P8" s="0" t="s">
        <v>18</v>
      </c>
      <c r="Q8" s="0" t="n">
        <v>3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3.5</v>
      </c>
      <c r="D9" s="0" t="n">
        <v>100</v>
      </c>
      <c r="E9" s="0" t="n">
        <v>10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0.00512518398865606</v>
      </c>
      <c r="L9" s="0" t="n">
        <v>0.00255422759797631</v>
      </c>
      <c r="M9" s="0" t="n">
        <v>0.0266044688517496</v>
      </c>
      <c r="N9" s="0" t="n">
        <v>0.00327075586203662</v>
      </c>
      <c r="O9" s="0" t="n">
        <v>0.00242869028562868</v>
      </c>
      <c r="P9" s="0" t="s">
        <v>18</v>
      </c>
      <c r="Q9" s="0" t="n">
        <v>3.5</v>
      </c>
    </row>
    <row r="10" customFormat="false" ht="14.2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100</v>
      </c>
      <c r="E10" s="0" t="n">
        <v>10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9.99537101235385E-006</v>
      </c>
      <c r="L10" s="0" t="n">
        <v>4.57318021148826E-006</v>
      </c>
      <c r="M10" s="0" t="n">
        <v>6.51166412050152E-005</v>
      </c>
      <c r="N10" s="0" t="n">
        <v>0.000215958073207882</v>
      </c>
      <c r="O10" s="0" t="n">
        <v>4.32509710277891E-005</v>
      </c>
      <c r="P10" s="0" t="s">
        <v>18</v>
      </c>
      <c r="Q10" s="0" t="n">
        <v>4</v>
      </c>
    </row>
    <row r="11" customFormat="false" ht="14.25" hidden="false" customHeight="false" outlineLevel="0" collapsed="false">
      <c r="A11" s="0" t="n">
        <v>100</v>
      </c>
      <c r="B11" s="0" t="n">
        <v>100</v>
      </c>
      <c r="C11" s="0" t="n">
        <v>5</v>
      </c>
      <c r="D11" s="0" t="n">
        <v>100</v>
      </c>
      <c r="E11" s="0" t="n">
        <v>10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4.61407947646523E-005</v>
      </c>
      <c r="L11" s="0" t="n">
        <v>2.7314065316294E-005</v>
      </c>
      <c r="M11" s="0" t="n">
        <v>0.000505838248904819</v>
      </c>
      <c r="N11" s="0" t="n">
        <v>0.000808057021705129</v>
      </c>
      <c r="O11" s="0" t="n">
        <v>0.000233853245919728</v>
      </c>
      <c r="P11" s="0" t="s">
        <v>18</v>
      </c>
      <c r="Q11" s="0" t="n">
        <v>5</v>
      </c>
    </row>
    <row r="12" customFormat="false" ht="14.25" hidden="false" customHeight="false" outlineLevel="0" collapsed="false">
      <c r="A12" s="0" t="n">
        <v>100</v>
      </c>
      <c r="B12" s="0" t="n">
        <v>100</v>
      </c>
      <c r="C12" s="0" t="n">
        <v>7.5</v>
      </c>
      <c r="D12" s="0" t="n">
        <v>100</v>
      </c>
      <c r="E12" s="0" t="n">
        <v>10</v>
      </c>
      <c r="F12" s="0" t="n">
        <v>1</v>
      </c>
      <c r="G12" s="0" t="n">
        <v>0.005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0.000511924947779037</v>
      </c>
      <c r="L12" s="0" t="n">
        <v>0.000466298786365452</v>
      </c>
      <c r="M12" s="0" t="n">
        <v>0.00224303987684544</v>
      </c>
      <c r="N12" s="0" t="n">
        <v>0.00532535748891405</v>
      </c>
      <c r="O12" s="0" t="n">
        <v>0.00384230325844323</v>
      </c>
      <c r="P12" s="0" t="s">
        <v>18</v>
      </c>
      <c r="Q12" s="0" t="n">
        <v>7.5</v>
      </c>
    </row>
    <row r="13" customFormat="false" ht="14.25" hidden="false" customHeight="false" outlineLevel="0" collapsed="false">
      <c r="A13" s="0" t="n">
        <v>100</v>
      </c>
      <c r="B13" s="0" t="n">
        <v>100</v>
      </c>
      <c r="C13" s="0" t="n">
        <v>10</v>
      </c>
      <c r="D13" s="0" t="n">
        <v>100</v>
      </c>
      <c r="E13" s="0" t="n">
        <v>10</v>
      </c>
      <c r="F13" s="0" t="n">
        <v>1</v>
      </c>
      <c r="G13" s="0" t="n">
        <v>0.005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0.000136527611280949</v>
      </c>
      <c r="L13" s="0" t="n">
        <v>0.000113894734107578</v>
      </c>
      <c r="M13" s="0" t="n">
        <v>0.00225243028316974</v>
      </c>
      <c r="N13" s="0" t="n">
        <v>0.0115820420956728</v>
      </c>
      <c r="O13" s="0" t="n">
        <v>0.00140475054606204</v>
      </c>
      <c r="P13" s="0" t="s">
        <v>18</v>
      </c>
      <c r="Q13" s="0" t="n">
        <v>10</v>
      </c>
    </row>
    <row r="14" customFormat="false" ht="14.25" hidden="false" customHeight="false" outlineLevel="0" collapsed="false">
      <c r="A14" s="0" t="n">
        <v>100</v>
      </c>
      <c r="B14" s="0" t="n">
        <v>100</v>
      </c>
      <c r="C14" s="0" t="n">
        <v>15</v>
      </c>
      <c r="D14" s="0" t="n">
        <v>100</v>
      </c>
      <c r="E14" s="0" t="n">
        <v>10</v>
      </c>
      <c r="F14" s="0" t="n">
        <v>1</v>
      </c>
      <c r="G14" s="0" t="n">
        <v>0.005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0.000444365636467686</v>
      </c>
      <c r="L14" s="0" t="n">
        <v>0.000142779064070566</v>
      </c>
      <c r="M14" s="0" t="n">
        <v>0.236814109742877</v>
      </c>
      <c r="N14" s="0" t="n">
        <v>2.13420864551639</v>
      </c>
      <c r="O14" s="0" t="n">
        <v>0.0591619139002343</v>
      </c>
      <c r="P14" s="0" t="s">
        <v>18</v>
      </c>
      <c r="Q14" s="0" t="n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3</v>
      </c>
      <c r="D2" s="0" t="n">
        <v>15</v>
      </c>
      <c r="E2" s="0" t="n">
        <v>10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9.3787105258869E-005</v>
      </c>
      <c r="L2" s="0" t="n">
        <v>1.77546756044608E-005</v>
      </c>
      <c r="M2" s="0" t="n">
        <v>0.000211745044488701</v>
      </c>
      <c r="N2" s="0" t="n">
        <v>0.0113671032177649</v>
      </c>
      <c r="O2" s="0" t="n">
        <v>0.00140466542953726</v>
      </c>
      <c r="P2" s="0" t="s">
        <v>3</v>
      </c>
      <c r="Q2" s="0" t="n">
        <v>15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3</v>
      </c>
      <c r="D3" s="0" t="n">
        <v>25</v>
      </c>
      <c r="E3" s="0" t="n">
        <v>10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2.39972824742825E-005</v>
      </c>
      <c r="L3" s="0" t="n">
        <v>1.13292898460497E-005</v>
      </c>
      <c r="M3" s="0" t="n">
        <v>0.000267742274172936</v>
      </c>
      <c r="N3" s="0" t="n">
        <v>0.000510621636938898</v>
      </c>
      <c r="O3" s="0" t="n">
        <v>0.000104133719272574</v>
      </c>
      <c r="P3" s="0" t="s">
        <v>3</v>
      </c>
      <c r="Q3" s="0" t="n">
        <v>25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3</v>
      </c>
      <c r="D4" s="0" t="n">
        <v>40</v>
      </c>
      <c r="E4" s="0" t="n">
        <v>10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0.00063925104540193</v>
      </c>
      <c r="L4" s="0" t="n">
        <v>0.000255452066091981</v>
      </c>
      <c r="M4" s="0" t="n">
        <v>0.00189110455216367</v>
      </c>
      <c r="N4" s="0" t="n">
        <v>0.00141781842256705</v>
      </c>
      <c r="O4" s="0" t="n">
        <v>0.000383961632012703</v>
      </c>
      <c r="P4" s="0" t="s">
        <v>3</v>
      </c>
      <c r="Q4" s="0" t="n">
        <v>40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3</v>
      </c>
      <c r="D5" s="0" t="n">
        <v>50</v>
      </c>
      <c r="E5" s="0" t="n">
        <v>10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8.91619763456752E-005</v>
      </c>
      <c r="L5" s="0" t="n">
        <v>5.0386542318672E-005</v>
      </c>
      <c r="M5" s="0" t="n">
        <v>0.000890235728741264</v>
      </c>
      <c r="N5" s="0" t="n">
        <v>0.00149520446399265</v>
      </c>
      <c r="O5" s="0" t="n">
        <v>0.000361513085266013</v>
      </c>
      <c r="P5" s="0" t="s">
        <v>3</v>
      </c>
      <c r="Q5" s="0" t="n">
        <v>50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3</v>
      </c>
      <c r="D6" s="0" t="n">
        <v>65</v>
      </c>
      <c r="E6" s="0" t="n">
        <v>10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6.7650604836859E-005</v>
      </c>
      <c r="L6" s="0" t="n">
        <v>4.96960658262E-005</v>
      </c>
      <c r="M6" s="0" t="n">
        <v>0.000299273883419471</v>
      </c>
      <c r="N6" s="0" t="n">
        <v>0.0010723237652807</v>
      </c>
      <c r="O6" s="0" t="n">
        <v>0.000470664326584901</v>
      </c>
      <c r="P6" s="0" t="s">
        <v>3</v>
      </c>
      <c r="Q6" s="0" t="n">
        <v>65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3</v>
      </c>
      <c r="D7" s="0" t="n">
        <v>75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0.00017377352292236</v>
      </c>
      <c r="L7" s="0" t="n">
        <v>8.58194100858331E-005</v>
      </c>
      <c r="M7" s="0" t="n">
        <v>0.000715945058743582</v>
      </c>
      <c r="N7" s="0" t="n">
        <v>0.00168501176972313</v>
      </c>
      <c r="O7" s="0" t="n">
        <v>0.00067550950138701</v>
      </c>
      <c r="P7" s="0" t="s">
        <v>3</v>
      </c>
      <c r="Q7" s="0" t="n">
        <v>75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85</v>
      </c>
      <c r="E8" s="0" t="n">
        <v>10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0.00263380626674333</v>
      </c>
      <c r="L8" s="0" t="n">
        <v>0.00079699362568785</v>
      </c>
      <c r="M8" s="0" t="n">
        <v>0.00798782389770921</v>
      </c>
      <c r="N8" s="0" t="n">
        <v>0.00202866208485375</v>
      </c>
      <c r="O8" s="0" t="n">
        <v>0.000883484703207716</v>
      </c>
      <c r="P8" s="0" t="s">
        <v>3</v>
      </c>
      <c r="Q8" s="0" t="n">
        <v>85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</v>
      </c>
      <c r="D9" s="0" t="n">
        <v>100</v>
      </c>
      <c r="E9" s="0" t="n">
        <v>10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0.000191394862625464</v>
      </c>
      <c r="L9" s="0" t="n">
        <v>0.000133583377591315</v>
      </c>
      <c r="M9" s="0" t="n">
        <v>0.000788566414526895</v>
      </c>
      <c r="N9" s="0" t="n">
        <v>0.00251707071189837</v>
      </c>
      <c r="O9" s="0" t="n">
        <v>0.00115296665012195</v>
      </c>
      <c r="P9" s="0" t="s">
        <v>3</v>
      </c>
      <c r="Q9" s="0" t="n">
        <v>100</v>
      </c>
    </row>
    <row r="10" customFormat="false" ht="14.25" hidden="false" customHeight="false" outlineLevel="0" collapsed="false">
      <c r="A10" s="0" t="n">
        <v>100</v>
      </c>
      <c r="B10" s="0" t="n">
        <v>100</v>
      </c>
      <c r="C10" s="0" t="n">
        <v>3</v>
      </c>
      <c r="D10" s="0" t="n">
        <v>115</v>
      </c>
      <c r="E10" s="0" t="n">
        <v>10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0.000383228957183827</v>
      </c>
      <c r="L10" s="0" t="n">
        <v>0.000208897744953103</v>
      </c>
      <c r="M10" s="0" t="n">
        <v>0.00117262532475777</v>
      </c>
      <c r="N10" s="0" t="n">
        <v>0.00255821972691213</v>
      </c>
      <c r="O10" s="0" t="n">
        <v>0.00153919000332197</v>
      </c>
      <c r="P10" s="0" t="s">
        <v>3</v>
      </c>
      <c r="Q10" s="0" t="n">
        <v>115</v>
      </c>
    </row>
    <row r="11" customFormat="false" ht="14.25" hidden="false" customHeight="false" outlineLevel="0" collapsed="false">
      <c r="A11" s="0" t="n">
        <v>100</v>
      </c>
      <c r="B11" s="0" t="n">
        <v>100</v>
      </c>
      <c r="C11" s="0" t="n">
        <v>3</v>
      </c>
      <c r="D11" s="0" t="n">
        <v>130</v>
      </c>
      <c r="E11" s="0" t="n">
        <v>10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0.00067981214185527</v>
      </c>
      <c r="L11" s="0" t="n">
        <v>0.000363039802240118</v>
      </c>
      <c r="M11" s="0" t="n">
        <v>0.00280578152742834</v>
      </c>
      <c r="N11" s="0" t="n">
        <v>0.0026944007405613</v>
      </c>
      <c r="O11" s="0" t="n">
        <v>0.00183395692530437</v>
      </c>
      <c r="P11" s="0" t="s">
        <v>3</v>
      </c>
      <c r="Q11" s="0" t="n">
        <v>130</v>
      </c>
    </row>
    <row r="12" customFormat="false" ht="14.25" hidden="false" customHeight="false" outlineLevel="0" collapsed="false">
      <c r="A12" s="0" t="n">
        <v>100</v>
      </c>
      <c r="B12" s="0" t="n">
        <v>100</v>
      </c>
      <c r="C12" s="0" t="n">
        <v>3</v>
      </c>
      <c r="D12" s="0" t="n">
        <v>150</v>
      </c>
      <c r="E12" s="0" t="n">
        <v>10</v>
      </c>
      <c r="F12" s="0" t="n">
        <v>1</v>
      </c>
      <c r="G12" s="0" t="n">
        <v>0.005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0.000605317117248649</v>
      </c>
      <c r="L12" s="0" t="n">
        <v>0.000245264850817417</v>
      </c>
      <c r="M12" s="0" t="n">
        <v>0.00151589065249281</v>
      </c>
      <c r="N12" s="0" t="n">
        <v>0.00332451418236701</v>
      </c>
      <c r="O12" s="0" t="n">
        <v>0.001557698468968</v>
      </c>
      <c r="P12" s="0" t="s">
        <v>3</v>
      </c>
      <c r="Q12" s="0" t="n">
        <v>150</v>
      </c>
    </row>
    <row r="13" customFormat="false" ht="14.25" hidden="false" customHeight="false" outlineLevel="0" collapsed="false">
      <c r="A13" s="0" t="n">
        <v>100</v>
      </c>
      <c r="B13" s="0" t="n">
        <v>100</v>
      </c>
      <c r="C13" s="0" t="n">
        <v>3</v>
      </c>
      <c r="D13" s="0" t="n">
        <v>200</v>
      </c>
      <c r="E13" s="0" t="n">
        <v>10</v>
      </c>
      <c r="F13" s="0" t="n">
        <v>1</v>
      </c>
      <c r="G13" s="0" t="n">
        <v>0.005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6.02993045082378E-005</v>
      </c>
      <c r="L13" s="0" t="n">
        <v>2.33771616228179E-005</v>
      </c>
      <c r="M13" s="0" t="n">
        <v>0.000140194132185533</v>
      </c>
      <c r="N13" s="0" t="n">
        <v>0.000658275819716891</v>
      </c>
      <c r="O13" s="0" t="n">
        <v>6.93997263071305E-005</v>
      </c>
      <c r="P13" s="0" t="s">
        <v>3</v>
      </c>
      <c r="Q13" s="0" t="n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3</v>
      </c>
      <c r="D2" s="0" t="n">
        <v>100</v>
      </c>
      <c r="E2" s="0" t="n">
        <v>5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0.00020662911704239</v>
      </c>
      <c r="L2" s="0" t="n">
        <v>0.000132360292936313</v>
      </c>
      <c r="M2" s="0" t="n">
        <v>0.000856577826757198</v>
      </c>
      <c r="N2" s="0" t="n">
        <v>0.00194550376068037</v>
      </c>
      <c r="O2" s="0" t="n">
        <v>0.00108282946325831</v>
      </c>
      <c r="P2" s="0" t="s">
        <v>4</v>
      </c>
      <c r="Q2" s="0" t="n">
        <v>5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3</v>
      </c>
      <c r="D3" s="0" t="n">
        <v>100</v>
      </c>
      <c r="E3" s="0" t="n">
        <v>6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0.000170045027629554</v>
      </c>
      <c r="L3" s="0" t="n">
        <v>0.000131471028307171</v>
      </c>
      <c r="M3" s="0" t="n">
        <v>0.000695829550532383</v>
      </c>
      <c r="N3" s="0" t="n">
        <v>0.00192679364446728</v>
      </c>
      <c r="O3" s="0" t="n">
        <v>0.00111111045690733</v>
      </c>
      <c r="P3" s="0" t="s">
        <v>4</v>
      </c>
      <c r="Q3" s="0" t="n">
        <v>6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3</v>
      </c>
      <c r="D4" s="0" t="n">
        <v>100</v>
      </c>
      <c r="E4" s="0" t="n">
        <v>7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0.000192230130201754</v>
      </c>
      <c r="L4" s="0" t="n">
        <v>0.000131028592264372</v>
      </c>
      <c r="M4" s="0" t="n">
        <v>0.000753823802297311</v>
      </c>
      <c r="N4" s="0" t="n">
        <v>0.0021421290125924</v>
      </c>
      <c r="O4" s="0" t="n">
        <v>0.00111841429943365</v>
      </c>
      <c r="P4" s="0" t="s">
        <v>4</v>
      </c>
      <c r="Q4" s="0" t="n">
        <v>7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3</v>
      </c>
      <c r="D5" s="0" t="n">
        <v>100</v>
      </c>
      <c r="E5" s="0" t="n">
        <v>8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0.000340016950324854</v>
      </c>
      <c r="L5" s="0" t="n">
        <v>0.000182623239341165</v>
      </c>
      <c r="M5" s="0" t="n">
        <v>0.00231084365702468</v>
      </c>
      <c r="N5" s="0" t="n">
        <v>0.00214131851240988</v>
      </c>
      <c r="O5" s="0" t="n">
        <v>0.00112074164441053</v>
      </c>
      <c r="P5" s="0" t="s">
        <v>4</v>
      </c>
      <c r="Q5" s="0" t="n">
        <v>8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3</v>
      </c>
      <c r="D6" s="0" t="n">
        <v>100</v>
      </c>
      <c r="E6" s="0" t="n">
        <v>9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0.000216665869681535</v>
      </c>
      <c r="L6" s="0" t="n">
        <v>0.000147138905421054</v>
      </c>
      <c r="M6" s="0" t="n">
        <v>0.000988912627742451</v>
      </c>
      <c r="N6" s="0" t="n">
        <v>0.00253093736440254</v>
      </c>
      <c r="O6" s="0" t="n">
        <v>0.00115193617839194</v>
      </c>
      <c r="P6" s="0" t="s">
        <v>4</v>
      </c>
      <c r="Q6" s="0" t="n">
        <v>9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3</v>
      </c>
      <c r="D7" s="0" t="n">
        <v>100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0.000191394862625464</v>
      </c>
      <c r="L7" s="0" t="n">
        <v>0.000133583377591315</v>
      </c>
      <c r="M7" s="0" t="n">
        <v>0.000788566414526895</v>
      </c>
      <c r="N7" s="0" t="n">
        <v>0.00251707071189837</v>
      </c>
      <c r="O7" s="0" t="n">
        <v>0.00115296665012195</v>
      </c>
      <c r="P7" s="0" t="s">
        <v>4</v>
      </c>
      <c r="Q7" s="0" t="n">
        <v>10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100</v>
      </c>
      <c r="E8" s="0" t="n">
        <v>11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0.00017650995868627</v>
      </c>
      <c r="L8" s="0" t="n">
        <v>0.000134840817862804</v>
      </c>
      <c r="M8" s="0" t="n">
        <v>0.000713826491116675</v>
      </c>
      <c r="N8" s="0" t="n">
        <v>0.00250889927254624</v>
      </c>
      <c r="O8" s="0" t="n">
        <v>0.00115292283366408</v>
      </c>
      <c r="P8" s="0" t="s">
        <v>4</v>
      </c>
      <c r="Q8" s="0" t="n">
        <v>11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</v>
      </c>
      <c r="D9" s="0" t="n">
        <v>100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0.000193671688451487</v>
      </c>
      <c r="L9" s="0" t="n">
        <v>0.000131691484414276</v>
      </c>
      <c r="M9" s="0" t="n">
        <v>0.000894987638276081</v>
      </c>
      <c r="N9" s="0" t="n">
        <v>0.00250350058039809</v>
      </c>
      <c r="O9" s="0" t="n">
        <v>0.00115255933277613</v>
      </c>
      <c r="P9" s="0" t="s">
        <v>4</v>
      </c>
      <c r="Q9" s="0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3</v>
      </c>
      <c r="D2" s="0" t="n">
        <v>100</v>
      </c>
      <c r="E2" s="0" t="n">
        <v>10</v>
      </c>
      <c r="F2" s="0" t="n">
        <v>1</v>
      </c>
      <c r="G2" s="0" t="n">
        <v>10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0.000111902147003296</v>
      </c>
      <c r="L2" s="0" t="n">
        <v>0.000102119802652743</v>
      </c>
      <c r="M2" s="0" t="n">
        <v>0.000301382824450203</v>
      </c>
      <c r="N2" s="0" t="n">
        <v>0.0258411597318021</v>
      </c>
      <c r="O2" s="0" t="n">
        <v>0.0113740428174485</v>
      </c>
      <c r="P2" s="0" t="s">
        <v>19</v>
      </c>
      <c r="Q2" s="0" t="n">
        <v>10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3</v>
      </c>
      <c r="D3" s="0" t="n">
        <v>100</v>
      </c>
      <c r="E3" s="0" t="n">
        <v>10</v>
      </c>
      <c r="F3" s="0" t="n">
        <v>1</v>
      </c>
      <c r="G3" s="0" t="n">
        <v>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0.000124786407307509</v>
      </c>
      <c r="L3" s="0" t="n">
        <v>0.000107223465949508</v>
      </c>
      <c r="M3" s="0" t="n">
        <v>0.0003808994610007</v>
      </c>
      <c r="N3" s="0" t="n">
        <v>0.01270262888526</v>
      </c>
      <c r="O3" s="0" t="n">
        <v>0.00620611196466046</v>
      </c>
      <c r="P3" s="0" t="s">
        <v>19</v>
      </c>
      <c r="Q3" s="0" t="n">
        <v>5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3</v>
      </c>
      <c r="D4" s="0" t="n">
        <v>100</v>
      </c>
      <c r="E4" s="0" t="n">
        <v>10</v>
      </c>
      <c r="F4" s="0" t="n">
        <v>1</v>
      </c>
      <c r="G4" s="0" t="n">
        <v>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0.000106887928012093</v>
      </c>
      <c r="L4" s="0" t="n">
        <v>0.000107111940023227</v>
      </c>
      <c r="M4" s="0" t="n">
        <v>0.00033332822849101</v>
      </c>
      <c r="N4" s="0" t="n">
        <v>0.00299309687678336</v>
      </c>
      <c r="O4" s="0" t="n">
        <v>0.00211324814808053</v>
      </c>
      <c r="P4" s="0" t="s">
        <v>19</v>
      </c>
      <c r="Q4" s="0" t="n">
        <v>1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3</v>
      </c>
      <c r="D5" s="0" t="n">
        <v>100</v>
      </c>
      <c r="E5" s="0" t="n">
        <v>10</v>
      </c>
      <c r="F5" s="0" t="n">
        <v>1</v>
      </c>
      <c r="G5" s="0" t="n">
        <v>0.5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0.000127289854585433</v>
      </c>
      <c r="L5" s="0" t="n">
        <v>0.000108252132109314</v>
      </c>
      <c r="M5" s="0" t="n">
        <v>0.000447856974532877</v>
      </c>
      <c r="N5" s="0" t="n">
        <v>0.00248438235341079</v>
      </c>
      <c r="O5" s="0" t="n">
        <v>0.00161990652921544</v>
      </c>
      <c r="P5" s="0" t="s">
        <v>19</v>
      </c>
      <c r="Q5" s="0" t="n">
        <v>0.5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3</v>
      </c>
      <c r="D6" s="0" t="n">
        <v>100</v>
      </c>
      <c r="E6" s="0" t="n">
        <v>10</v>
      </c>
      <c r="F6" s="0" t="n">
        <v>1</v>
      </c>
      <c r="G6" s="0" t="n">
        <v>0.1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0.000314625389068605</v>
      </c>
      <c r="L6" s="0" t="n">
        <v>0.000175793476088885</v>
      </c>
      <c r="M6" s="0" t="n">
        <v>0.00206725862900005</v>
      </c>
      <c r="N6" s="0" t="n">
        <v>0.00247716107314015</v>
      </c>
      <c r="O6" s="0" t="n">
        <v>0.00123977555826856</v>
      </c>
      <c r="P6" s="0" t="s">
        <v>19</v>
      </c>
      <c r="Q6" s="0" t="n">
        <v>0.1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3</v>
      </c>
      <c r="D7" s="0" t="n">
        <v>100</v>
      </c>
      <c r="E7" s="0" t="n">
        <v>10</v>
      </c>
      <c r="F7" s="0" t="n">
        <v>1</v>
      </c>
      <c r="G7" s="0" t="n">
        <v>0.05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0.000518502576655866</v>
      </c>
      <c r="L7" s="0" t="n">
        <v>0.000248062181603172</v>
      </c>
      <c r="M7" s="0" t="n">
        <v>0.00317192408573502</v>
      </c>
      <c r="N7" s="0" t="n">
        <v>0.00249817364393342</v>
      </c>
      <c r="O7" s="0" t="n">
        <v>0.00119386233094003</v>
      </c>
      <c r="P7" s="0" t="s">
        <v>19</v>
      </c>
      <c r="Q7" s="0" t="n">
        <v>0.05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100</v>
      </c>
      <c r="E8" s="0" t="n">
        <v>10</v>
      </c>
      <c r="F8" s="0" t="n">
        <v>1</v>
      </c>
      <c r="G8" s="0" t="n">
        <v>0.01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0.000182596803925517</v>
      </c>
      <c r="L8" s="0" t="n">
        <v>0.000133235573981984</v>
      </c>
      <c r="M8" s="0" t="n">
        <v>0.000707507218145002</v>
      </c>
      <c r="N8" s="0" t="n">
        <v>0.00251497236805183</v>
      </c>
      <c r="O8" s="0" t="n">
        <v>0.00115748919369749</v>
      </c>
      <c r="P8" s="0" t="s">
        <v>19</v>
      </c>
      <c r="Q8" s="0" t="n">
        <v>0.01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</v>
      </c>
      <c r="D9" s="0" t="n">
        <v>100</v>
      </c>
      <c r="E9" s="0" t="n">
        <v>10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0.000191394862625464</v>
      </c>
      <c r="L9" s="0" t="n">
        <v>0.000133583377591315</v>
      </c>
      <c r="M9" s="0" t="n">
        <v>0.000788566414526895</v>
      </c>
      <c r="N9" s="0" t="n">
        <v>0.00251707071189837</v>
      </c>
      <c r="O9" s="0" t="n">
        <v>0.00115296665012195</v>
      </c>
      <c r="P9" s="0" t="s">
        <v>19</v>
      </c>
      <c r="Q9" s="0" t="n">
        <v>0.005</v>
      </c>
    </row>
    <row r="10" customFormat="false" ht="14.25" hidden="false" customHeight="false" outlineLevel="0" collapsed="false">
      <c r="A10" s="0" t="n">
        <v>100</v>
      </c>
      <c r="B10" s="0" t="n">
        <v>100</v>
      </c>
      <c r="C10" s="0" t="n">
        <v>3</v>
      </c>
      <c r="D10" s="0" t="n">
        <v>100</v>
      </c>
      <c r="E10" s="0" t="n">
        <v>10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0.000204540327766771</v>
      </c>
      <c r="L10" s="0" t="n">
        <v>0.00013386134089137</v>
      </c>
      <c r="M10" s="0" t="n">
        <v>0.000834470611110988</v>
      </c>
      <c r="N10" s="0" t="n">
        <v>0.00251875956682094</v>
      </c>
      <c r="O10" s="0" t="n">
        <v>0.00114935251968026</v>
      </c>
      <c r="P10" s="0" t="s">
        <v>19</v>
      </c>
      <c r="Q10" s="0" t="n">
        <v>0.001</v>
      </c>
    </row>
    <row r="11" customFormat="false" ht="14.25" hidden="false" customHeight="false" outlineLevel="0" collapsed="false">
      <c r="A11" s="0" t="n">
        <v>100</v>
      </c>
      <c r="B11" s="0" t="n">
        <v>100</v>
      </c>
      <c r="C11" s="0" t="n">
        <v>3</v>
      </c>
      <c r="D11" s="0" t="n">
        <v>100</v>
      </c>
      <c r="E11" s="0" t="n">
        <v>10</v>
      </c>
      <c r="F11" s="0" t="n">
        <v>1</v>
      </c>
      <c r="G11" s="0" t="n">
        <v>0.0005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0.000204171004041983</v>
      </c>
      <c r="L11" s="0" t="n">
        <v>0.000134327380152139</v>
      </c>
      <c r="M11" s="0" t="n">
        <v>0.000857976101933859</v>
      </c>
      <c r="N11" s="0" t="n">
        <v>0.00251896568363463</v>
      </c>
      <c r="O11" s="0" t="n">
        <v>0.00114890109263437</v>
      </c>
      <c r="P11" s="0" t="s">
        <v>19</v>
      </c>
      <c r="Q11" s="0" t="n">
        <v>0.0005</v>
      </c>
    </row>
    <row r="12" customFormat="false" ht="14.25" hidden="false" customHeight="false" outlineLevel="0" collapsed="false">
      <c r="A12" s="0" t="n">
        <v>100</v>
      </c>
      <c r="B12" s="0" t="n">
        <v>100</v>
      </c>
      <c r="C12" s="0" t="n">
        <v>3</v>
      </c>
      <c r="D12" s="0" t="n">
        <v>100</v>
      </c>
      <c r="E12" s="0" t="n">
        <v>10</v>
      </c>
      <c r="F12" s="0" t="n">
        <v>1</v>
      </c>
      <c r="G12" s="0" t="n">
        <v>0.0001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0.000197628179977224</v>
      </c>
      <c r="L12" s="0" t="n">
        <v>0.000135934718123704</v>
      </c>
      <c r="M12" s="0" t="n">
        <v>0.000923749881653613</v>
      </c>
      <c r="N12" s="0" t="n">
        <v>0.00251913563499784</v>
      </c>
      <c r="O12" s="0" t="n">
        <v>0.00114853986352769</v>
      </c>
      <c r="P12" s="0" t="s">
        <v>19</v>
      </c>
      <c r="Q12" s="0" t="n">
        <v>0.0001</v>
      </c>
    </row>
    <row r="13" customFormat="false" ht="14.25" hidden="false" customHeight="false" outlineLevel="0" collapsed="false">
      <c r="A13" s="0" t="n">
        <v>100</v>
      </c>
      <c r="B13" s="0" t="n">
        <v>100</v>
      </c>
      <c r="C13" s="0" t="n">
        <v>3</v>
      </c>
      <c r="D13" s="0" t="n">
        <v>100</v>
      </c>
      <c r="E13" s="0" t="n">
        <v>10</v>
      </c>
      <c r="F13" s="0" t="n">
        <v>1</v>
      </c>
      <c r="G13" s="0" t="n">
        <v>5E-005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0.000196096580972564</v>
      </c>
      <c r="L13" s="0" t="n">
        <v>0.000136328602950047</v>
      </c>
      <c r="M13" s="0" t="n">
        <v>0.000937331305883008</v>
      </c>
      <c r="N13" s="0" t="n">
        <v>0.00251915059929312</v>
      </c>
      <c r="O13" s="0" t="n">
        <v>0.00114849473411905</v>
      </c>
      <c r="P13" s="0" t="s">
        <v>19</v>
      </c>
      <c r="Q13" s="0" t="n">
        <v>5E-005</v>
      </c>
    </row>
    <row r="14" customFormat="false" ht="14.25" hidden="false" customHeight="false" outlineLevel="0" collapsed="false">
      <c r="A14" s="0" t="n">
        <v>100</v>
      </c>
      <c r="B14" s="0" t="n">
        <v>100</v>
      </c>
      <c r="C14" s="0" t="n">
        <v>3</v>
      </c>
      <c r="D14" s="0" t="n">
        <v>100</v>
      </c>
      <c r="E14" s="0" t="n">
        <v>10</v>
      </c>
      <c r="F14" s="0" t="n">
        <v>1</v>
      </c>
      <c r="G14" s="0" t="n">
        <v>1E-005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0.000194581047444113</v>
      </c>
      <c r="L14" s="0" t="n">
        <v>0.000136676489734298</v>
      </c>
      <c r="M14" s="0" t="n">
        <v>0.000948986817059032</v>
      </c>
      <c r="N14" s="0" t="n">
        <v>0.00251917176827495</v>
      </c>
      <c r="O14" s="0" t="n">
        <v>0.00114845859673018</v>
      </c>
      <c r="P14" s="0" t="s">
        <v>19</v>
      </c>
      <c r="Q14" s="0" t="n">
        <v>1E-005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3</v>
      </c>
      <c r="D2" s="0" t="n">
        <v>100</v>
      </c>
      <c r="E2" s="0" t="n">
        <v>10</v>
      </c>
      <c r="F2" s="0" t="n">
        <v>1</v>
      </c>
      <c r="G2" s="0" t="n">
        <v>0.005</v>
      </c>
      <c r="H2" s="0" t="n">
        <v>0</v>
      </c>
      <c r="I2" s="1" t="b">
        <f aca="false">FALSE()</f>
        <v>0</v>
      </c>
      <c r="J2" s="1" t="b">
        <f aca="false">TRUE()</f>
        <v>1</v>
      </c>
      <c r="K2" s="0" t="n">
        <v>0.000187472225026575</v>
      </c>
      <c r="L2" s="0" t="n">
        <v>0.000123018568799847</v>
      </c>
      <c r="M2" s="0" t="n">
        <v>0.000618167641477052</v>
      </c>
      <c r="N2" s="0" t="n">
        <v>0.00262553737672685</v>
      </c>
      <c r="O2" s="0" t="n">
        <v>0.00628093293614503</v>
      </c>
      <c r="P2" s="0" t="s">
        <v>20</v>
      </c>
      <c r="Q2" s="0" t="n">
        <v>0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3</v>
      </c>
      <c r="D3" s="0" t="n">
        <v>100</v>
      </c>
      <c r="E3" s="0" t="n">
        <v>10</v>
      </c>
      <c r="F3" s="0" t="n">
        <v>1</v>
      </c>
      <c r="G3" s="0" t="n">
        <v>0.005</v>
      </c>
      <c r="H3" s="0" t="n">
        <v>4</v>
      </c>
      <c r="I3" s="1" t="b">
        <f aca="false">FALSE()</f>
        <v>0</v>
      </c>
      <c r="J3" s="1" t="b">
        <f aca="false">TRUE()</f>
        <v>1</v>
      </c>
      <c r="K3" s="0" t="n">
        <v>0.0011412520305687</v>
      </c>
      <c r="L3" s="0" t="n">
        <v>0.000265962409968569</v>
      </c>
      <c r="M3" s="0" t="n">
        <v>0.00187688769598846</v>
      </c>
      <c r="N3" s="0" t="n">
        <v>0.00189201023484283</v>
      </c>
      <c r="O3" s="0" t="n">
        <v>0.00347413312370363</v>
      </c>
      <c r="P3" s="0" t="s">
        <v>20</v>
      </c>
      <c r="Q3" s="0" t="n">
        <v>4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3</v>
      </c>
      <c r="D4" s="0" t="n">
        <v>100</v>
      </c>
      <c r="E4" s="0" t="n">
        <v>10</v>
      </c>
      <c r="F4" s="0" t="n">
        <v>1</v>
      </c>
      <c r="G4" s="0" t="n">
        <v>0.005</v>
      </c>
      <c r="H4" s="0" t="n">
        <v>6</v>
      </c>
      <c r="I4" s="1" t="b">
        <f aca="false">FALSE()</f>
        <v>0</v>
      </c>
      <c r="J4" s="1" t="b">
        <f aca="false">TRUE()</f>
        <v>1</v>
      </c>
      <c r="K4" s="0" t="n">
        <v>0.00617173752418639</v>
      </c>
      <c r="L4" s="0" t="n">
        <v>0.000599723253476883</v>
      </c>
      <c r="M4" s="0" t="n">
        <v>0.00447765587455761</v>
      </c>
      <c r="N4" s="0" t="n">
        <v>0.00191832144578874</v>
      </c>
      <c r="O4" s="0" t="n">
        <v>0.002033561663792</v>
      </c>
      <c r="P4" s="0" t="s">
        <v>20</v>
      </c>
      <c r="Q4" s="0" t="n">
        <v>6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3</v>
      </c>
      <c r="D5" s="0" t="n">
        <v>100</v>
      </c>
      <c r="E5" s="0" t="n">
        <v>10</v>
      </c>
      <c r="F5" s="0" t="n">
        <v>1</v>
      </c>
      <c r="G5" s="0" t="n">
        <v>0.005</v>
      </c>
      <c r="H5" s="0" t="n">
        <v>8</v>
      </c>
      <c r="I5" s="1" t="b">
        <f aca="false">FALSE()</f>
        <v>0</v>
      </c>
      <c r="J5" s="1" t="b">
        <f aca="false">TRUE()</f>
        <v>1</v>
      </c>
      <c r="K5" s="0" t="n">
        <v>0.00343786249236796</v>
      </c>
      <c r="L5" s="0" t="n">
        <v>0.000470322203467008</v>
      </c>
      <c r="M5" s="0" t="n">
        <v>0.00409114583232722</v>
      </c>
      <c r="N5" s="0" t="n">
        <v>0.00193143833490761</v>
      </c>
      <c r="O5" s="0" t="n">
        <v>0.00144870434734157</v>
      </c>
      <c r="P5" s="0" t="s">
        <v>20</v>
      </c>
      <c r="Q5" s="0" t="n">
        <v>8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3</v>
      </c>
      <c r="D6" s="0" t="n">
        <v>100</v>
      </c>
      <c r="E6" s="0" t="n">
        <v>10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0.000191394862625464</v>
      </c>
      <c r="L6" s="0" t="n">
        <v>0.000133583377591315</v>
      </c>
      <c r="M6" s="0" t="n">
        <v>0.000788566414526895</v>
      </c>
      <c r="N6" s="0" t="n">
        <v>0.00251707071189837</v>
      </c>
      <c r="O6" s="0" t="n">
        <v>0.00115296665012195</v>
      </c>
      <c r="P6" s="0" t="s">
        <v>20</v>
      </c>
      <c r="Q6" s="0" t="n">
        <v>12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3</v>
      </c>
      <c r="D7" s="0" t="n">
        <v>100</v>
      </c>
      <c r="E7" s="0" t="n">
        <v>10</v>
      </c>
      <c r="F7" s="0" t="n">
        <v>1</v>
      </c>
      <c r="G7" s="0" t="n">
        <v>0.005</v>
      </c>
      <c r="H7" s="0" t="n">
        <v>16</v>
      </c>
      <c r="I7" s="1" t="b">
        <f aca="false">FALSE()</f>
        <v>0</v>
      </c>
      <c r="J7" s="1" t="b">
        <f aca="false">TRUE()</f>
        <v>1</v>
      </c>
      <c r="K7" s="0" t="n">
        <v>0.000198800896602069</v>
      </c>
      <c r="L7" s="0" t="n">
        <v>0.000141045675970399</v>
      </c>
      <c r="M7" s="0" t="n">
        <v>0.00160634809889772</v>
      </c>
      <c r="N7" s="0" t="n">
        <v>0.00177355593241265</v>
      </c>
      <c r="O7" s="0" t="n">
        <v>0.00144965008575732</v>
      </c>
      <c r="P7" s="0" t="s">
        <v>20</v>
      </c>
      <c r="Q7" s="0" t="n">
        <v>16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100</v>
      </c>
      <c r="E8" s="0" t="n">
        <v>10</v>
      </c>
      <c r="F8" s="0" t="n">
        <v>1</v>
      </c>
      <c r="G8" s="0" t="n">
        <v>0.005</v>
      </c>
      <c r="H8" s="0" t="n">
        <v>18</v>
      </c>
      <c r="I8" s="1" t="b">
        <f aca="false">FALSE()</f>
        <v>0</v>
      </c>
      <c r="J8" s="1" t="b">
        <f aca="false">TRUE()</f>
        <v>1</v>
      </c>
      <c r="K8" s="0" t="n">
        <v>0.000707438455183803</v>
      </c>
      <c r="L8" s="0" t="n">
        <v>0.000171550642947133</v>
      </c>
      <c r="M8" s="0" t="n">
        <v>0.0024161991685239</v>
      </c>
      <c r="N8" s="0" t="n">
        <v>0.00154369446049111</v>
      </c>
      <c r="O8" s="0" t="n">
        <v>0.00203482589844472</v>
      </c>
      <c r="P8" s="0" t="s">
        <v>20</v>
      </c>
      <c r="Q8" s="0" t="n">
        <v>18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</v>
      </c>
      <c r="D9" s="0" t="n">
        <v>100</v>
      </c>
      <c r="E9" s="0" t="n">
        <v>10</v>
      </c>
      <c r="F9" s="0" t="n">
        <v>1</v>
      </c>
      <c r="G9" s="0" t="n">
        <v>0.005</v>
      </c>
      <c r="H9" s="0" t="n">
        <v>20</v>
      </c>
      <c r="I9" s="1" t="b">
        <f aca="false">FALSE()</f>
        <v>0</v>
      </c>
      <c r="J9" s="1" t="b">
        <f aca="false">TRUE()</f>
        <v>1</v>
      </c>
      <c r="K9" s="0" t="n">
        <v>0.000198985056109491</v>
      </c>
      <c r="L9" s="0" t="n">
        <v>0.000127645622019495</v>
      </c>
      <c r="M9" s="0" t="n">
        <v>0.000763568624095969</v>
      </c>
      <c r="N9" s="0" t="n">
        <v>0.00185234274554362</v>
      </c>
      <c r="O9" s="0" t="n">
        <v>0.00347549477327003</v>
      </c>
      <c r="P9" s="0" t="s">
        <v>20</v>
      </c>
      <c r="Q9" s="0" t="n">
        <v>20</v>
      </c>
    </row>
    <row r="10" customFormat="false" ht="14.25" hidden="false" customHeight="false" outlineLevel="0" collapsed="false">
      <c r="A10" s="0" t="n">
        <v>100</v>
      </c>
      <c r="B10" s="0" t="n">
        <v>100</v>
      </c>
      <c r="C10" s="0" t="n">
        <v>3</v>
      </c>
      <c r="D10" s="0" t="n">
        <v>100</v>
      </c>
      <c r="E10" s="0" t="n">
        <v>10</v>
      </c>
      <c r="F10" s="0" t="n">
        <v>1</v>
      </c>
      <c r="G10" s="0" t="n">
        <v>0.005</v>
      </c>
      <c r="H10" s="0" t="n">
        <v>24</v>
      </c>
      <c r="I10" s="1" t="b">
        <f aca="false">FALSE()</f>
        <v>0</v>
      </c>
      <c r="J10" s="1" t="b">
        <f aca="false">TRUE()</f>
        <v>1</v>
      </c>
      <c r="K10" s="0" t="n">
        <v>0.000187479106331582</v>
      </c>
      <c r="L10" s="0" t="n">
        <v>0.000123020119562737</v>
      </c>
      <c r="M10" s="0" t="n">
        <v>0.000618202599283781</v>
      </c>
      <c r="N10" s="0" t="n">
        <v>0.00262553739063454</v>
      </c>
      <c r="O10" s="0" t="n">
        <v>0.00628093295397879</v>
      </c>
      <c r="P10" s="0" t="s">
        <v>20</v>
      </c>
      <c r="Q10" s="0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2026-07-14T10:19:56Z</dcterms:created>
  <dc:creator>openpyxl</dc:creator>
  <dc:description/>
  <dc:language>en-US</dc:language>
  <cp:lastModifiedBy/>
  <dcterms:modified xsi:type="dcterms:W3CDTF">2026-07-14T17:22:43Z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