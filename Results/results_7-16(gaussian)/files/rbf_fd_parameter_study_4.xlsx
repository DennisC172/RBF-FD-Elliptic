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id Size" sheetId="1" state="visible" r:id="rId3"/>
    <sheet name="Length Scale" sheetId="2" state="visible" r:id="rId4"/>
    <sheet name="Stencil Nodes" sheetId="3" state="visible" r:id="rId5"/>
    <sheet name="Center Rings" sheetId="4" state="visible" r:id="rId6"/>
    <sheet name="Eigenvalue Ratio" sheetId="5" state="visible" r:id="rId7"/>
    <sheet name="Eigenvector Angl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<sst xmlns="http://schemas.openxmlformats.org/spreadsheetml/2006/main" count="170" uniqueCount="21">
  <si>
    <t xml:space="preserve">Nx</t>
  </si>
  <si>
    <t xml:space="preserve">Ny</t>
  </si>
  <si>
    <t xml:space="preserve">eps</t>
  </si>
  <si>
    <t xml:space="preserve">num_stencil_nodes</t>
  </si>
  <si>
    <t xml:space="preserve">num_rings</t>
  </si>
  <si>
    <t xml:space="preserve">eigenvalue 1</t>
  </si>
  <si>
    <t xml:space="preserve">eigenvalue 2</t>
  </si>
  <si>
    <t xml:space="preserve">radian = r/24</t>
  </si>
  <si>
    <t xml:space="preserve">augmentation</t>
  </si>
  <si>
    <t xml:space="preserve">sparse</t>
  </si>
  <si>
    <t xml:space="preserve">u_exact - u max_error_rel</t>
  </si>
  <si>
    <t xml:space="preserve">u_exact - u l2_error_rel</t>
  </si>
  <si>
    <t xml:space="preserve">energy_error_rel</t>
  </si>
  <si>
    <t xml:space="preserve">Lu_exact - F max_residual_rel</t>
  </si>
  <si>
    <t xml:space="preserve">Lu_exact - F l2_residual_rel</t>
  </si>
  <si>
    <t xml:space="preserve">varied_param</t>
  </si>
  <si>
    <t xml:space="preserve">varied_value</t>
  </si>
  <si>
    <t xml:space="preserve">N_int</t>
  </si>
  <si>
    <t xml:space="preserve">Inverse Length Scale</t>
  </si>
  <si>
    <t xml:space="preserve">eig_2</t>
  </si>
  <si>
    <t xml:space="preserve">rad24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</si>
</sst>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1F77B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7F0E"/>
      <rgbColor rgb="FF9467BD"/>
      <rgbColor rgb="FF969696"/>
      <rgbColor rgb="FF003366"/>
      <rgbColor rgb="FF2CA02C"/>
      <rgbColor rgb="FF003300"/>
      <rgbColor rgb="FF333300"/>
      <rgbColor rgb="FFD6272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Grid Size: Relative Errors &amp; Residuals vs N_int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'Grid Size'!K1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Size'!$Q$2:$Q$13</c:f>
              <c:numCache>
                <c:formatCode>General</c:formatCode>
                <c:ptCount val="12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750</c:v>
                </c:pt>
              </c:numCache>
            </c:numRef>
          </c:xVal>
          <c:yVal>
            <c:numRef>
              <c:f>'Grid Size'!$K$2:$K$13</c:f>
              <c:numCache>
                <c:formatCode>General</c:formatCode>
                <c:ptCount val="12"/>
                <c:pt idx="0">
                  <c:v>0.0735589610231724</c:v>
                </c:pt>
                <c:pt idx="1">
                  <c:v>0.0335308784680075</c:v>
                </c:pt>
                <c:pt idx="2">
                  <c:v>0.0123427286946451</c:v>
                </c:pt>
                <c:pt idx="3">
                  <c:v>0.00555225785497338</c:v>
                </c:pt>
                <c:pt idx="4">
                  <c:v>0.00314187855938974</c:v>
                </c:pt>
                <c:pt idx="5">
                  <c:v>0.00201850416514393</c:v>
                </c:pt>
                <c:pt idx="6">
                  <c:v>0.00140520960251234</c:v>
                </c:pt>
                <c:pt idx="7">
                  <c:v>0.00103431553247058</c:v>
                </c:pt>
                <c:pt idx="8">
                  <c:v>0.000792972242733336</c:v>
                </c:pt>
                <c:pt idx="9">
                  <c:v>0.000508492850568532</c:v>
                </c:pt>
                <c:pt idx="10">
                  <c:v>0.000127681145053238</c:v>
                </c:pt>
                <c:pt idx="11">
                  <c:v>5.60689311097651E-005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'Grid Size'!L1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Size'!$Q$2:$Q$13</c:f>
              <c:numCache>
                <c:formatCode>General</c:formatCode>
                <c:ptCount val="12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750</c:v>
                </c:pt>
              </c:numCache>
            </c:numRef>
          </c:xVal>
          <c:yVal>
            <c:numRef>
              <c:f>'Grid Size'!$L$2:$L$13</c:f>
              <c:numCache>
                <c:formatCode>General</c:formatCode>
                <c:ptCount val="12"/>
                <c:pt idx="0">
                  <c:v>0.0498505078150981</c:v>
                </c:pt>
                <c:pt idx="1">
                  <c:v>0.0232052548593329</c:v>
                </c:pt>
                <c:pt idx="2">
                  <c:v>0.00868332997043837</c:v>
                </c:pt>
                <c:pt idx="3">
                  <c:v>0.00393601078323276</c:v>
                </c:pt>
                <c:pt idx="4">
                  <c:v>0.0022360140455167</c:v>
                </c:pt>
                <c:pt idx="5">
                  <c:v>0.00143958208236755</c:v>
                </c:pt>
                <c:pt idx="6">
                  <c:v>0.00100368508239148</c:v>
                </c:pt>
                <c:pt idx="7">
                  <c:v>0.000739494223189678</c:v>
                </c:pt>
                <c:pt idx="8">
                  <c:v>0.000567388425187966</c:v>
                </c:pt>
                <c:pt idx="9">
                  <c:v>0.00036421766409353</c:v>
                </c:pt>
                <c:pt idx="10">
                  <c:v>9.16423377527654E-005</c:v>
                </c:pt>
                <c:pt idx="11">
                  <c:v>4.02694350715219E-005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'Grid Size'!M1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Size'!$Q$2:$Q$13</c:f>
              <c:numCache>
                <c:formatCode>General</c:formatCode>
                <c:ptCount val="12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750</c:v>
                </c:pt>
              </c:numCache>
            </c:numRef>
          </c:xVal>
          <c:yVal>
            <c:numRef>
              <c:f>'Grid Size'!$M$2:$M$13</c:f>
              <c:numCache>
                <c:formatCode>General</c:formatCode>
                <c:ptCount val="12"/>
                <c:pt idx="0">
                  <c:v>0.806429328972791</c:v>
                </c:pt>
                <c:pt idx="1">
                  <c:v>0.63634045480985</c:v>
                </c:pt>
                <c:pt idx="2">
                  <c:v>0.483436726239272</c:v>
                </c:pt>
                <c:pt idx="3">
                  <c:v>0.393986170057591</c:v>
                </c:pt>
                <c:pt idx="4">
                  <c:v>0.34094687714457</c:v>
                </c:pt>
                <c:pt idx="5">
                  <c:v>0.304705512564719</c:v>
                </c:pt>
                <c:pt idx="6">
                  <c:v>0.278502805483284</c:v>
                </c:pt>
                <c:pt idx="7">
                  <c:v>0.25796484482584</c:v>
                </c:pt>
                <c:pt idx="8">
                  <c:v>0.241199805877353</c:v>
                </c:pt>
                <c:pt idx="9">
                  <c:v>0.215684959798744</c:v>
                </c:pt>
                <c:pt idx="10">
                  <c:v>0.152678824611806</c:v>
                </c:pt>
                <c:pt idx="11">
                  <c:v>0.123036891380445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'Grid Size'!N1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Size'!$Q$2:$Q$13</c:f>
              <c:numCache>
                <c:formatCode>General</c:formatCode>
                <c:ptCount val="12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750</c:v>
                </c:pt>
              </c:numCache>
            </c:numRef>
          </c:xVal>
          <c:yVal>
            <c:numRef>
              <c:f>'Grid Size'!$N$2:$N$13</c:f>
              <c:numCache>
                <c:formatCode>General</c:formatCode>
                <c:ptCount val="12"/>
                <c:pt idx="0">
                  <c:v>0.575982187388945</c:v>
                </c:pt>
                <c:pt idx="1">
                  <c:v>0.265584211148735</c:v>
                </c:pt>
                <c:pt idx="2">
                  <c:v>0.0983760024741969</c:v>
                </c:pt>
                <c:pt idx="3">
                  <c:v>0.0443360331355507</c:v>
                </c:pt>
                <c:pt idx="4">
                  <c:v>0.0251111806919653</c:v>
                </c:pt>
                <c:pt idx="5">
                  <c:v>0.0161371671674715</c:v>
                </c:pt>
                <c:pt idx="6">
                  <c:v>0.0112369075795868</c:v>
                </c:pt>
                <c:pt idx="7">
                  <c:v>0.00827167136958451</c:v>
                </c:pt>
                <c:pt idx="8">
                  <c:v>0.0063422591847484</c:v>
                </c:pt>
                <c:pt idx="9">
                  <c:v>0.00406732474948512</c:v>
                </c:pt>
                <c:pt idx="10">
                  <c:v>0.0010214323119726</c:v>
                </c:pt>
                <c:pt idx="11">
                  <c:v>0.000448687234893441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'Grid Size'!O1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Size'!$Q$2:$Q$13</c:f>
              <c:numCache>
                <c:formatCode>General</c:formatCode>
                <c:ptCount val="12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750</c:v>
                </c:pt>
              </c:numCache>
            </c:numRef>
          </c:xVal>
          <c:yVal>
            <c:numRef>
              <c:f>'Grid Size'!$O$2:$O$13</c:f>
              <c:numCache>
                <c:formatCode>General</c:formatCode>
                <c:ptCount val="12"/>
                <c:pt idx="0">
                  <c:v>1.25689617744898</c:v>
                </c:pt>
                <c:pt idx="1">
                  <c:v>0.715504986805562</c:v>
                </c:pt>
                <c:pt idx="2">
                  <c:v>0.344384892080906</c:v>
                </c:pt>
                <c:pt idx="3">
                  <c:v>0.190713441450172</c:v>
                </c:pt>
                <c:pt idx="4">
                  <c:v>0.124932790177106</c:v>
                </c:pt>
                <c:pt idx="5">
                  <c:v>0.0898508149915946</c:v>
                </c:pt>
                <c:pt idx="6">
                  <c:v>0.0685834497472362</c:v>
                </c:pt>
                <c:pt idx="7">
                  <c:v>0.0545562946657066</c:v>
                </c:pt>
                <c:pt idx="8">
                  <c:v>0.0447348186945863</c:v>
                </c:pt>
                <c:pt idx="9">
                  <c:v>0.0320908349971061</c:v>
                </c:pt>
                <c:pt idx="10">
                  <c:v>0.0114082801876759</c:v>
                </c:pt>
                <c:pt idx="11">
                  <c:v>0.00613765731410512</c:v>
                </c:pt>
              </c:numCache>
            </c:numRef>
          </c:yVal>
          <c:smooth val="0"/>
        </c:ser>
        <c:axId val="59419963"/>
        <c:axId val="39193294"/>
      </c:scatterChart>
      <c:valAx>
        <c:axId val="5941996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N_int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193294"/>
        <c:crosses val="autoZero"/>
        <c:crossBetween val="midCat"/>
      </c:valAx>
      <c:valAx>
        <c:axId val="39193294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419963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Length Scale: Relative Errors &amp; Residuals vs Inverse Length Scale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'Length Scale'!K1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Scale'!$K$2:$K$16</c:f>
              <c:numCache>
                <c:formatCode>General</c:formatCode>
                <c:ptCount val="15"/>
                <c:pt idx="0">
                  <c:v>3.31168555156515</c:v>
                </c:pt>
                <c:pt idx="1">
                  <c:v>3.31126125318024</c:v>
                </c:pt>
                <c:pt idx="2">
                  <c:v>1.86321617423602E-006</c:v>
                </c:pt>
                <c:pt idx="3">
                  <c:v>7.81681422923342E-007</c:v>
                </c:pt>
                <c:pt idx="4">
                  <c:v>7.35264053930429E-006</c:v>
                </c:pt>
                <c:pt idx="5">
                  <c:v>1.92960729874514E-005</c:v>
                </c:pt>
                <c:pt idx="6">
                  <c:v>4.03049280697232E-005</c:v>
                </c:pt>
                <c:pt idx="7">
                  <c:v>7.46157914950363E-005</c:v>
                </c:pt>
                <c:pt idx="8">
                  <c:v>0.000127681145053238</c:v>
                </c:pt>
                <c:pt idx="9">
                  <c:v>0.000311675170939996</c:v>
                </c:pt>
                <c:pt idx="10">
                  <c:v>0.00157886224163506</c:v>
                </c:pt>
                <c:pt idx="11">
                  <c:v>0.00500331768801554</c:v>
                </c:pt>
                <c:pt idx="12">
                  <c:v>0.0257492704206375</c:v>
                </c:pt>
                <c:pt idx="13">
                  <c:v>0.0852487991591353</c:v>
                </c:pt>
                <c:pt idx="14">
                  <c:v>0.601984223127372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'Length Scale'!L1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Scale'!$L$2:$L$16</c:f>
              <c:numCache>
                <c:formatCode>General</c:formatCode>
                <c:ptCount val="15"/>
                <c:pt idx="0">
                  <c:v>1.09171170381973</c:v>
                </c:pt>
                <c:pt idx="1">
                  <c:v>1.09166213522635</c:v>
                </c:pt>
                <c:pt idx="2">
                  <c:v>1.33719045557419E-006</c:v>
                </c:pt>
                <c:pt idx="3">
                  <c:v>4.41959629404885E-007</c:v>
                </c:pt>
                <c:pt idx="4">
                  <c:v>5.27680934277348E-006</c:v>
                </c:pt>
                <c:pt idx="5">
                  <c:v>1.38477331152369E-005</c:v>
                </c:pt>
                <c:pt idx="6">
                  <c:v>2.89273259539274E-005</c:v>
                </c:pt>
                <c:pt idx="7">
                  <c:v>5.35544889022776E-005</c:v>
                </c:pt>
                <c:pt idx="8">
                  <c:v>9.16423377527654E-005</c:v>
                </c:pt>
                <c:pt idx="9">
                  <c:v>0.000223700881840271</c:v>
                </c:pt>
                <c:pt idx="10">
                  <c:v>0.00113316958303947</c:v>
                </c:pt>
                <c:pt idx="11">
                  <c:v>0.00359058315866641</c:v>
                </c:pt>
                <c:pt idx="12">
                  <c:v>0.0184673985368782</c:v>
                </c:pt>
                <c:pt idx="13">
                  <c:v>0.0610383741520857</c:v>
                </c:pt>
                <c:pt idx="14">
                  <c:v>0.426378280982382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'Length Scale'!M1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Scale'!$M$2:$M$16</c:f>
              <c:numCache>
                <c:formatCode>General</c:formatCode>
                <c:ptCount val="15"/>
                <c:pt idx="0">
                  <c:v>1200242911.3025</c:v>
                </c:pt>
                <c:pt idx="1">
                  <c:v>299977928.104903</c:v>
                </c:pt>
                <c:pt idx="2">
                  <c:v>0.142550116016669</c:v>
                </c:pt>
                <c:pt idx="3">
                  <c:v>0.0118259609130917</c:v>
                </c:pt>
                <c:pt idx="4">
                  <c:v>0.0351618272279541</c:v>
                </c:pt>
                <c:pt idx="5">
                  <c:v>0.0590563225500378</c:v>
                </c:pt>
                <c:pt idx="6">
                  <c:v>0.0856727669570706</c:v>
                </c:pt>
                <c:pt idx="7">
                  <c:v>0.116533052431197</c:v>
                </c:pt>
                <c:pt idx="8">
                  <c:v>0.152678824611806</c:v>
                </c:pt>
                <c:pt idx="9">
                  <c:v>0.238540504603818</c:v>
                </c:pt>
                <c:pt idx="10">
                  <c:v>0.537172897757345</c:v>
                </c:pt>
                <c:pt idx="11">
                  <c:v>0.957742518439517</c:v>
                </c:pt>
                <c:pt idx="12">
                  <c:v>2.19109436028063</c:v>
                </c:pt>
                <c:pt idx="13">
                  <c:v>4.07709816557598</c:v>
                </c:pt>
                <c:pt idx="14">
                  <c:v>12.6685082174711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'Length Scale'!N1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Scale'!$N$2:$N$16</c:f>
              <c:numCache>
                <c:formatCode>General</c:formatCode>
                <c:ptCount val="15"/>
                <c:pt idx="0">
                  <c:v>0.00500500001041086</c:v>
                </c:pt>
                <c:pt idx="1">
                  <c:v>0.0200200001665738</c:v>
                </c:pt>
                <c:pt idx="2">
                  <c:v>1.49063998833299E-005</c:v>
                </c:pt>
                <c:pt idx="3">
                  <c:v>6.255810149014E-006</c:v>
                </c:pt>
                <c:pt idx="4">
                  <c:v>5.88462571613491E-005</c:v>
                </c:pt>
                <c:pt idx="5">
                  <c:v>0.000154410838149488</c:v>
                </c:pt>
                <c:pt idx="6">
                  <c:v>0.000322512409184128</c:v>
                </c:pt>
                <c:pt idx="7">
                  <c:v>0.000596964353462681</c:v>
                </c:pt>
                <c:pt idx="8">
                  <c:v>0.0010214323119726</c:v>
                </c:pt>
                <c:pt idx="9">
                  <c:v>0.00249316319241189</c:v>
                </c:pt>
                <c:pt idx="10">
                  <c:v>0.0126174472970888</c:v>
                </c:pt>
                <c:pt idx="11">
                  <c:v>0.0398764669371303</c:v>
                </c:pt>
                <c:pt idx="12">
                  <c:v>0.201850646844832</c:v>
                </c:pt>
                <c:pt idx="13">
                  <c:v>0.637840057606809</c:v>
                </c:pt>
                <c:pt idx="14">
                  <c:v>3.22751427671756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'Length Scale'!O1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Scale'!$O$2:$O$16</c:f>
              <c:numCache>
                <c:formatCode>General</c:formatCode>
                <c:ptCount val="15"/>
                <c:pt idx="0">
                  <c:v>0.055901727448828</c:v>
                </c:pt>
                <c:pt idx="1">
                  <c:v>0.223606911190682</c:v>
                </c:pt>
                <c:pt idx="2">
                  <c:v>0.000166486815957756</c:v>
                </c:pt>
                <c:pt idx="3">
                  <c:v>5.71799929580812E-005</c:v>
                </c:pt>
                <c:pt idx="4">
                  <c:v>0.000656924446343473</c:v>
                </c:pt>
                <c:pt idx="5">
                  <c:v>0.00172393675396239</c:v>
                </c:pt>
                <c:pt idx="6">
                  <c:v>0.00360117042989066</c:v>
                </c:pt>
                <c:pt idx="7">
                  <c:v>0.00666702419357008</c:v>
                </c:pt>
                <c:pt idx="8">
                  <c:v>0.0114082801876759</c:v>
                </c:pt>
                <c:pt idx="9">
                  <c:v>0.0278447202845095</c:v>
                </c:pt>
                <c:pt idx="10">
                  <c:v>0.140923183576366</c:v>
                </c:pt>
                <c:pt idx="11">
                  <c:v>0.445386541885963</c:v>
                </c:pt>
                <c:pt idx="12">
                  <c:v>2.25450453721258</c:v>
                </c:pt>
                <c:pt idx="13">
                  <c:v>7.12414779043501</c:v>
                </c:pt>
                <c:pt idx="14">
                  <c:v>36.0486757418717</c:v>
                </c:pt>
              </c:numCache>
            </c:numRef>
          </c:yVal>
          <c:smooth val="0"/>
        </c:ser>
        <c:axId val="10583971"/>
        <c:axId val="31410063"/>
      </c:scatterChart>
      <c:valAx>
        <c:axId val="1058397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Inverse Length Scale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410063"/>
        <c:crosses val="autoZero"/>
        <c:crossBetween val="midCat"/>
      </c:valAx>
      <c:valAx>
        <c:axId val="31410063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583971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Stencil Nodes: Relative Errors &amp; Residuals vs num_stencil_nodes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'Stencil Nodes'!K1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Nodes'!$Q$2:$Q$10</c:f>
              <c:numCache>
                <c:formatCode>General</c:formatCode>
                <c:ptCount val="9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40</c:v>
                </c:pt>
                <c:pt idx="7">
                  <c:v>50</c:v>
                </c:pt>
                <c:pt idx="8">
                  <c:v>65</c:v>
                </c:pt>
              </c:numCache>
            </c:numRef>
          </c:xVal>
          <c:yVal>
            <c:numRef>
              <c:f>'Stencil Nodes'!$K$2:$K$10</c:f>
              <c:numCache>
                <c:formatCode>General</c:formatCode>
                <c:ptCount val="9"/>
                <c:pt idx="0">
                  <c:v>0.000127681145053238</c:v>
                </c:pt>
                <c:pt idx="1">
                  <c:v>0.000127756083707187</c:v>
                </c:pt>
                <c:pt idx="2">
                  <c:v>0.000298305852530767</c:v>
                </c:pt>
                <c:pt idx="3">
                  <c:v>0.00138039955120806</c:v>
                </c:pt>
                <c:pt idx="4">
                  <c:v>0.0021243057388447</c:v>
                </c:pt>
                <c:pt idx="5">
                  <c:v>0.00198445875074382</c:v>
                </c:pt>
                <c:pt idx="6">
                  <c:v>0.0324485946399901</c:v>
                </c:pt>
                <c:pt idx="7">
                  <c:v>0.00771068394791707</c:v>
                </c:pt>
                <c:pt idx="8">
                  <c:v>0.0237951901462064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'Stencil Nodes'!L1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Nodes'!$Q$2:$Q$10</c:f>
              <c:numCache>
                <c:formatCode>General</c:formatCode>
                <c:ptCount val="9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40</c:v>
                </c:pt>
                <c:pt idx="7">
                  <c:v>50</c:v>
                </c:pt>
                <c:pt idx="8">
                  <c:v>65</c:v>
                </c:pt>
              </c:numCache>
            </c:numRef>
          </c:xVal>
          <c:yVal>
            <c:numRef>
              <c:f>'Stencil Nodes'!$L$2:$L$10</c:f>
              <c:numCache>
                <c:formatCode>General</c:formatCode>
                <c:ptCount val="9"/>
                <c:pt idx="0">
                  <c:v>9.16423377527654E-005</c:v>
                </c:pt>
                <c:pt idx="1">
                  <c:v>9.16960015467073E-005</c:v>
                </c:pt>
                <c:pt idx="2">
                  <c:v>0.000213684074354901</c:v>
                </c:pt>
                <c:pt idx="3">
                  <c:v>0.000536626242615603</c:v>
                </c:pt>
                <c:pt idx="4">
                  <c:v>0.000571231799050449</c:v>
                </c:pt>
                <c:pt idx="5">
                  <c:v>0.000796386069053312</c:v>
                </c:pt>
                <c:pt idx="6">
                  <c:v>0.00568588778786971</c:v>
                </c:pt>
                <c:pt idx="7">
                  <c:v>0.00214163168303264</c:v>
                </c:pt>
                <c:pt idx="8">
                  <c:v>0.00392901311745481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'Stencil Nodes'!M1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Nodes'!$Q$2:$Q$10</c:f>
              <c:numCache>
                <c:formatCode>General</c:formatCode>
                <c:ptCount val="9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40</c:v>
                </c:pt>
                <c:pt idx="7">
                  <c:v>50</c:v>
                </c:pt>
                <c:pt idx="8">
                  <c:v>65</c:v>
                </c:pt>
              </c:numCache>
            </c:numRef>
          </c:xVal>
          <c:yVal>
            <c:numRef>
              <c:f>'Stencil Nodes'!$M$2:$M$10</c:f>
              <c:numCache>
                <c:formatCode>General</c:formatCode>
                <c:ptCount val="9"/>
                <c:pt idx="0">
                  <c:v>0.152678824611806</c:v>
                </c:pt>
                <c:pt idx="1">
                  <c:v>0.15392176107903</c:v>
                </c:pt>
                <c:pt idx="2">
                  <c:v>727.102450520383</c:v>
                </c:pt>
                <c:pt idx="3">
                  <c:v>2147.83935414693</c:v>
                </c:pt>
                <c:pt idx="4">
                  <c:v>6344.70919005058</c:v>
                </c:pt>
                <c:pt idx="5">
                  <c:v>17523.4305989292</c:v>
                </c:pt>
                <c:pt idx="6">
                  <c:v>13474.5670095572</c:v>
                </c:pt>
                <c:pt idx="7">
                  <c:v>2896.08292919932</c:v>
                </c:pt>
                <c:pt idx="8">
                  <c:v>6546.50433925817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'Stencil Nodes'!N1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Nodes'!$Q$2:$Q$10</c:f>
              <c:numCache>
                <c:formatCode>General</c:formatCode>
                <c:ptCount val="9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40</c:v>
                </c:pt>
                <c:pt idx="7">
                  <c:v>50</c:v>
                </c:pt>
                <c:pt idx="8">
                  <c:v>65</c:v>
                </c:pt>
              </c:numCache>
            </c:numRef>
          </c:xVal>
          <c:yVal>
            <c:numRef>
              <c:f>'Stencil Nodes'!$N$2:$N$10</c:f>
              <c:numCache>
                <c:formatCode>General</c:formatCode>
                <c:ptCount val="9"/>
                <c:pt idx="0">
                  <c:v>0.0010214323119726</c:v>
                </c:pt>
                <c:pt idx="1">
                  <c:v>0.00102208882890409</c:v>
                </c:pt>
                <c:pt idx="2">
                  <c:v>0.00238198068109341</c:v>
                </c:pt>
                <c:pt idx="3">
                  <c:v>0.00524700598543859</c:v>
                </c:pt>
                <c:pt idx="4">
                  <c:v>0.00656078231622814</c:v>
                </c:pt>
                <c:pt idx="5">
                  <c:v>0.0104802704699978</c:v>
                </c:pt>
                <c:pt idx="6">
                  <c:v>0.0181665347481612</c:v>
                </c:pt>
                <c:pt idx="7">
                  <c:v>0.0271436327384436</c:v>
                </c:pt>
                <c:pt idx="8">
                  <c:v>0.0356159584271154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'Stencil Nodes'!O1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Nodes'!$Q$2:$Q$10</c:f>
              <c:numCache>
                <c:formatCode>General</c:formatCode>
                <c:ptCount val="9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40</c:v>
                </c:pt>
                <c:pt idx="7">
                  <c:v>50</c:v>
                </c:pt>
                <c:pt idx="8">
                  <c:v>65</c:v>
                </c:pt>
              </c:numCache>
            </c:numRef>
          </c:xVal>
          <c:yVal>
            <c:numRef>
              <c:f>'Stencil Nodes'!$O$2:$O$10</c:f>
              <c:numCache>
                <c:formatCode>General</c:formatCode>
                <c:ptCount val="9"/>
                <c:pt idx="0">
                  <c:v>0.0114082801876759</c:v>
                </c:pt>
                <c:pt idx="1">
                  <c:v>0.0114149508841717</c:v>
                </c:pt>
                <c:pt idx="2">
                  <c:v>0.0266043495404692</c:v>
                </c:pt>
                <c:pt idx="3">
                  <c:v>0.0543758603733847</c:v>
                </c:pt>
                <c:pt idx="4">
                  <c:v>0.0654046031486092</c:v>
                </c:pt>
                <c:pt idx="5">
                  <c:v>0.0960188157764747</c:v>
                </c:pt>
                <c:pt idx="6">
                  <c:v>0.139221493561418</c:v>
                </c:pt>
                <c:pt idx="7">
                  <c:v>0.186254772148851</c:v>
                </c:pt>
                <c:pt idx="8">
                  <c:v>0.229835038426164</c:v>
                </c:pt>
              </c:numCache>
            </c:numRef>
          </c:yVal>
          <c:smooth val="0"/>
        </c:ser>
        <c:axId val="27212178"/>
        <c:axId val="95093042"/>
      </c:scatterChart>
      <c:valAx>
        <c:axId val="2721217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num_stencil_nodes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093042"/>
        <c:crosses val="autoZero"/>
        <c:crossBetween val="midCat"/>
      </c:valAx>
      <c:valAx>
        <c:axId val="95093042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212178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Center Rings: Relative Errors &amp; Residuals vs num_rings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'Center Rings'!K1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Rings'!$K$2:$K$11</c:f>
              <c:numCache>
                <c:formatCode>General</c:formatCode>
                <c:ptCount val="10"/>
                <c:pt idx="0">
                  <c:v>0.000127681145053238</c:v>
                </c:pt>
                <c:pt idx="1">
                  <c:v>0.000127934960646448</c:v>
                </c:pt>
                <c:pt idx="2">
                  <c:v>0.000127818011653735</c:v>
                </c:pt>
                <c:pt idx="3">
                  <c:v>0.000127697509941127</c:v>
                </c:pt>
                <c:pt idx="4">
                  <c:v>0.000127540377147239</c:v>
                </c:pt>
                <c:pt idx="5">
                  <c:v>0.000127541838931711</c:v>
                </c:pt>
                <c:pt idx="6">
                  <c:v>0.000127580668046745</c:v>
                </c:pt>
                <c:pt idx="7">
                  <c:v>0.000127653255378224</c:v>
                </c:pt>
                <c:pt idx="8">
                  <c:v>0.000127547114062265</c:v>
                </c:pt>
                <c:pt idx="9">
                  <c:v>0.000127511815480208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'Center Rings'!L1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Rings'!$L$2:$L$11</c:f>
              <c:numCache>
                <c:formatCode>General</c:formatCode>
                <c:ptCount val="10"/>
                <c:pt idx="0">
                  <c:v>9.16423377527654E-005</c:v>
                </c:pt>
                <c:pt idx="1">
                  <c:v>9.18246526207106E-005</c:v>
                </c:pt>
                <c:pt idx="2">
                  <c:v>9.16813485786185E-005</c:v>
                </c:pt>
                <c:pt idx="3">
                  <c:v>9.16521811091027E-005</c:v>
                </c:pt>
                <c:pt idx="4">
                  <c:v>9.15406456106286E-005</c:v>
                </c:pt>
                <c:pt idx="5">
                  <c:v>9.15409697788747E-005</c:v>
                </c:pt>
                <c:pt idx="6">
                  <c:v>9.156944357118E-005</c:v>
                </c:pt>
                <c:pt idx="7">
                  <c:v>9.16222517158351E-005</c:v>
                </c:pt>
                <c:pt idx="8">
                  <c:v>9.15283715453105E-005</c:v>
                </c:pt>
                <c:pt idx="9">
                  <c:v>9.14634799660583E-005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'Center Rings'!M1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Rings'!$M$2:$M$11</c:f>
              <c:numCache>
                <c:formatCode>General</c:formatCode>
                <c:ptCount val="10"/>
                <c:pt idx="0">
                  <c:v>0.152678824611806</c:v>
                </c:pt>
                <c:pt idx="1">
                  <c:v>0.153240519102818</c:v>
                </c:pt>
                <c:pt idx="2">
                  <c:v>0.153076738417135</c:v>
                </c:pt>
                <c:pt idx="3">
                  <c:v>0.153138333594999</c:v>
                </c:pt>
                <c:pt idx="4">
                  <c:v>0.15299410182017</c:v>
                </c:pt>
                <c:pt idx="5">
                  <c:v>0.153001686808779</c:v>
                </c:pt>
                <c:pt idx="6">
                  <c:v>0.153082910567451</c:v>
                </c:pt>
                <c:pt idx="7">
                  <c:v>0.153229281973423</c:v>
                </c:pt>
                <c:pt idx="8">
                  <c:v>0.153110973540711</c:v>
                </c:pt>
                <c:pt idx="9">
                  <c:v>0.153020082275925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'Center Rings'!N1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Rings'!$N$2:$N$11</c:f>
              <c:numCache>
                <c:formatCode>General</c:formatCode>
                <c:ptCount val="10"/>
                <c:pt idx="0">
                  <c:v>0.0010214323119726</c:v>
                </c:pt>
                <c:pt idx="1">
                  <c:v>0.00102349100052379</c:v>
                </c:pt>
                <c:pt idx="2">
                  <c:v>0.00102265120949596</c:v>
                </c:pt>
                <c:pt idx="3">
                  <c:v>0.00102161796530709</c:v>
                </c:pt>
                <c:pt idx="4">
                  <c:v>0.00102030282141641</c:v>
                </c:pt>
                <c:pt idx="5">
                  <c:v>0.00102032191352919</c:v>
                </c:pt>
                <c:pt idx="6">
                  <c:v>0.00102062764926814</c:v>
                </c:pt>
                <c:pt idx="7">
                  <c:v>0.00102128661819734</c:v>
                </c:pt>
                <c:pt idx="8">
                  <c:v>0.00102082296507433</c:v>
                </c:pt>
                <c:pt idx="9">
                  <c:v>0.00102147046709433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'Center Rings'!O1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Rings'!$O$2:$O$11</c:f>
              <c:numCache>
                <c:formatCode>General</c:formatCode>
                <c:ptCount val="10"/>
                <c:pt idx="0">
                  <c:v>0.0114082801876759</c:v>
                </c:pt>
                <c:pt idx="1">
                  <c:v>0.0114309733754363</c:v>
                </c:pt>
                <c:pt idx="2">
                  <c:v>0.0114131640945447</c:v>
                </c:pt>
                <c:pt idx="3">
                  <c:v>0.0114094946979333</c:v>
                </c:pt>
                <c:pt idx="4">
                  <c:v>0.0113956290695822</c:v>
                </c:pt>
                <c:pt idx="5">
                  <c:v>0.0113956499300768</c:v>
                </c:pt>
                <c:pt idx="6">
                  <c:v>0.011399199776651</c:v>
                </c:pt>
                <c:pt idx="7">
                  <c:v>0.0114057725273006</c:v>
                </c:pt>
                <c:pt idx="8">
                  <c:v>0.0113941335033931</c:v>
                </c:pt>
                <c:pt idx="9">
                  <c:v>0.0113859451108176</c:v>
                </c:pt>
              </c:numCache>
            </c:numRef>
          </c:yVal>
          <c:smooth val="0"/>
        </c:ser>
        <c:axId val="24270416"/>
        <c:axId val="3950644"/>
      </c:scatterChart>
      <c:valAx>
        <c:axId val="2427041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num_rings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50644"/>
        <c:crosses val="autoZero"/>
        <c:crossBetween val="midCat"/>
      </c:valAx>
      <c:valAx>
        <c:axId val="3950644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270416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Eigenvalue Ratio: Relative Errors &amp; Residuals vs eig_2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'Eigenvalue Ratio'!K1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Ratio'!$K$2:$K$14</c:f>
              <c:numCache>
                <c:formatCode>General</c:formatCode>
                <c:ptCount val="13"/>
                <c:pt idx="0">
                  <c:v>0.000138240535075163</c:v>
                </c:pt>
                <c:pt idx="1">
                  <c:v>0.000143600202644922</c:v>
                </c:pt>
                <c:pt idx="2">
                  <c:v>0.000150320993200781</c:v>
                </c:pt>
                <c:pt idx="3">
                  <c:v>0.000148995320998546</c:v>
                </c:pt>
                <c:pt idx="4">
                  <c:v>0.000138287806848769</c:v>
                </c:pt>
                <c:pt idx="5">
                  <c:v>0.0001336829029015</c:v>
                </c:pt>
                <c:pt idx="6">
                  <c:v>0.000128828594947228</c:v>
                </c:pt>
                <c:pt idx="7">
                  <c:v>0.000128191201994587</c:v>
                </c:pt>
                <c:pt idx="8">
                  <c:v>0.000127681145053238</c:v>
                </c:pt>
                <c:pt idx="9">
                  <c:v>0.000127617384990897</c:v>
                </c:pt>
                <c:pt idx="10">
                  <c:v>0.000127566375460297</c:v>
                </c:pt>
                <c:pt idx="11">
                  <c:v>0.000127559999391735</c:v>
                </c:pt>
                <c:pt idx="12">
                  <c:v>0.000127554906683036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'Eigenvalue Ratio'!L1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Ratio'!$L$2:$L$14</c:f>
              <c:numCache>
                <c:formatCode>General</c:formatCode>
                <c:ptCount val="13"/>
                <c:pt idx="0">
                  <c:v>8.54312432685593E-005</c:v>
                </c:pt>
                <c:pt idx="1">
                  <c:v>8.46297529452796E-005</c:v>
                </c:pt>
                <c:pt idx="2">
                  <c:v>8.40230608877139E-005</c:v>
                </c:pt>
                <c:pt idx="3">
                  <c:v>8.41262728081549E-005</c:v>
                </c:pt>
                <c:pt idx="4">
                  <c:v>8.54604529690683E-005</c:v>
                </c:pt>
                <c:pt idx="5">
                  <c:v>8.65770040412416E-005</c:v>
                </c:pt>
                <c:pt idx="6">
                  <c:v>8.93035664506839E-005</c:v>
                </c:pt>
                <c:pt idx="7">
                  <c:v>9.02233806444494E-005</c:v>
                </c:pt>
                <c:pt idx="8">
                  <c:v>9.16423377527654E-005</c:v>
                </c:pt>
                <c:pt idx="9">
                  <c:v>9.2011960090681E-005</c:v>
                </c:pt>
                <c:pt idx="10">
                  <c:v>9.25234998859809E-005</c:v>
                </c:pt>
                <c:pt idx="11">
                  <c:v>9.26460484432552E-005</c:v>
                </c:pt>
                <c:pt idx="12">
                  <c:v>9.28021097700939E-005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'Eigenvalue Ratio'!M1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Ratio'!$M$2:$M$14</c:f>
              <c:numCache>
                <c:formatCode>General</c:formatCode>
                <c:ptCount val="13"/>
                <c:pt idx="0">
                  <c:v>0.144601455946576</c:v>
                </c:pt>
                <c:pt idx="1">
                  <c:v>0.143088419059686</c:v>
                </c:pt>
                <c:pt idx="2">
                  <c:v>0.141538959318712</c:v>
                </c:pt>
                <c:pt idx="3">
                  <c:v>0.14184861337465</c:v>
                </c:pt>
                <c:pt idx="4">
                  <c:v>0.144670600157429</c:v>
                </c:pt>
                <c:pt idx="5">
                  <c:v>0.146407493367076</c:v>
                </c:pt>
                <c:pt idx="6">
                  <c:v>0.149962033052097</c:v>
                </c:pt>
                <c:pt idx="7">
                  <c:v>0.151055431229229</c:v>
                </c:pt>
                <c:pt idx="8">
                  <c:v>0.152678824611806</c:v>
                </c:pt>
                <c:pt idx="9">
                  <c:v>0.15308966859418</c:v>
                </c:pt>
                <c:pt idx="10">
                  <c:v>0.153645446538119</c:v>
                </c:pt>
                <c:pt idx="11">
                  <c:v>0.153774448323784</c:v>
                </c:pt>
                <c:pt idx="12">
                  <c:v>0.153934597511947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'Eigenvalue Ratio'!N1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Ratio'!$N$2:$N$14</c:f>
              <c:numCache>
                <c:formatCode>General</c:formatCode>
                <c:ptCount val="13"/>
                <c:pt idx="0">
                  <c:v>0.0112204456236213</c:v>
                </c:pt>
                <c:pt idx="1">
                  <c:v>0.00612041726708412</c:v>
                </c:pt>
                <c:pt idx="2">
                  <c:v>0.00204041280085221</c:v>
                </c:pt>
                <c:pt idx="3">
                  <c:v>0.00153041275916621</c:v>
                </c:pt>
                <c:pt idx="4">
                  <c:v>0.00112241233000532</c:v>
                </c:pt>
                <c:pt idx="5">
                  <c:v>0.00107141229091212</c:v>
                </c:pt>
                <c:pt idx="6">
                  <c:v>0.00103061235859059</c:v>
                </c:pt>
                <c:pt idx="7">
                  <c:v>0.0010255123488605</c:v>
                </c:pt>
                <c:pt idx="8">
                  <c:v>0.0010214323119726</c:v>
                </c:pt>
                <c:pt idx="9">
                  <c:v>0.001020922412863</c:v>
                </c:pt>
                <c:pt idx="10">
                  <c:v>0.00102051443536766</c:v>
                </c:pt>
                <c:pt idx="11">
                  <c:v>0.00102046335814521</c:v>
                </c:pt>
                <c:pt idx="12">
                  <c:v>0.00102042258367874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'Eigenvalue Ratio'!O1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Ratio'!$O$2:$O$14</c:f>
              <c:numCache>
                <c:formatCode>General</c:formatCode>
                <c:ptCount val="13"/>
                <c:pt idx="0">
                  <c:v>0.125318109162216</c:v>
                </c:pt>
                <c:pt idx="1">
                  <c:v>0.0683575024928224</c:v>
                </c:pt>
                <c:pt idx="2">
                  <c:v>0.022789009167353</c:v>
                </c:pt>
                <c:pt idx="3">
                  <c:v>0.017092949910785</c:v>
                </c:pt>
                <c:pt idx="4">
                  <c:v>0.0125360999593139</c:v>
                </c:pt>
                <c:pt idx="5">
                  <c:v>0.0119664952192798</c:v>
                </c:pt>
                <c:pt idx="6">
                  <c:v>0.0115108087806695</c:v>
                </c:pt>
                <c:pt idx="7">
                  <c:v>0.0114538491600668</c:v>
                </c:pt>
                <c:pt idx="8">
                  <c:v>0.0114082801876759</c:v>
                </c:pt>
                <c:pt idx="9">
                  <c:v>0.0114025841944112</c:v>
                </c:pt>
                <c:pt idx="10">
                  <c:v>0.0113980269405817</c:v>
                </c:pt>
                <c:pt idx="11">
                  <c:v>0.0113974572636038</c:v>
                </c:pt>
                <c:pt idx="12">
                  <c:v>0.0113970018616409</c:v>
                </c:pt>
              </c:numCache>
            </c:numRef>
          </c:yVal>
          <c:smooth val="0"/>
        </c:ser>
        <c:axId val="1338456"/>
        <c:axId val="71879503"/>
      </c:scatterChart>
      <c:valAx>
        <c:axId val="133845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eig_2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879503"/>
        <c:crosses val="autoZero"/>
        <c:crossBetween val="midCat"/>
      </c:valAx>
      <c:valAx>
        <c:axId val="71879503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38456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Eigenvector Angle: Relative Errors &amp; Residuals vs rad24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'Eigenvector Angle'!K1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Angle'!$K$2:$K$10</c:f>
              <c:numCache>
                <c:formatCode>General</c:formatCode>
                <c:ptCount val="9"/>
                <c:pt idx="0">
                  <c:v>0.000127628060972551</c:v>
                </c:pt>
                <c:pt idx="1">
                  <c:v>0.000147035583495825</c:v>
                </c:pt>
                <c:pt idx="2">
                  <c:v>0.000150321390727459</c:v>
                </c:pt>
                <c:pt idx="3">
                  <c:v>0.000147066245561378</c:v>
                </c:pt>
                <c:pt idx="4">
                  <c:v>0.000127681145053238</c:v>
                </c:pt>
                <c:pt idx="5">
                  <c:v>0.000147065575850203</c:v>
                </c:pt>
                <c:pt idx="6">
                  <c:v>0.00015032060255038</c:v>
                </c:pt>
                <c:pt idx="7">
                  <c:v>0.000147034918815958</c:v>
                </c:pt>
                <c:pt idx="8">
                  <c:v>0.000127628060972551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'Eigenvector Angle'!L1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Angle'!$L$2:$L$10</c:f>
              <c:numCache>
                <c:formatCode>General</c:formatCode>
                <c:ptCount val="9"/>
                <c:pt idx="0">
                  <c:v>9.16041387427507E-005</c:v>
                </c:pt>
                <c:pt idx="1">
                  <c:v>8.42741094361507E-005</c:v>
                </c:pt>
                <c:pt idx="2">
                  <c:v>8.40232836959438E-005</c:v>
                </c:pt>
                <c:pt idx="3">
                  <c:v>8.42916802858492E-005</c:v>
                </c:pt>
                <c:pt idx="4">
                  <c:v>9.16423377527654E-005</c:v>
                </c:pt>
                <c:pt idx="5">
                  <c:v>8.42912960431881E-005</c:v>
                </c:pt>
                <c:pt idx="6">
                  <c:v>8.40228418978372E-005</c:v>
                </c:pt>
                <c:pt idx="7">
                  <c:v>8.42737263731034E-005</c:v>
                </c:pt>
                <c:pt idx="8">
                  <c:v>9.16041387427507E-005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'Eigenvector Angle'!M1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Angle'!$M$2:$M$10</c:f>
              <c:numCache>
                <c:formatCode>General</c:formatCode>
                <c:ptCount val="9"/>
                <c:pt idx="0">
                  <c:v>0.152589831910426</c:v>
                </c:pt>
                <c:pt idx="1">
                  <c:v>0.142257384321358</c:v>
                </c:pt>
                <c:pt idx="2">
                  <c:v>0.141539409896823</c:v>
                </c:pt>
                <c:pt idx="3">
                  <c:v>0.142298839272288</c:v>
                </c:pt>
                <c:pt idx="4">
                  <c:v>0.152678824611806</c:v>
                </c:pt>
                <c:pt idx="5">
                  <c:v>0.142298094323164</c:v>
                </c:pt>
                <c:pt idx="6">
                  <c:v>0.141538516370314</c:v>
                </c:pt>
                <c:pt idx="7">
                  <c:v>0.142256591801456</c:v>
                </c:pt>
                <c:pt idx="8">
                  <c:v>0.152589831910426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'Eigenvector Angle'!N1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Angle'!$N$2:$N$10</c:f>
              <c:numCache>
                <c:formatCode>General</c:formatCode>
                <c:ptCount val="9"/>
                <c:pt idx="0">
                  <c:v>0.00102102744858712</c:v>
                </c:pt>
                <c:pt idx="1">
                  <c:v>0.00102113203320187</c:v>
                </c:pt>
                <c:pt idx="2">
                  <c:v>0.00102123101532925</c:v>
                </c:pt>
                <c:pt idx="3">
                  <c:v>0.00102133190375753</c:v>
                </c:pt>
                <c:pt idx="4">
                  <c:v>0.0010214323119726</c:v>
                </c:pt>
                <c:pt idx="5">
                  <c:v>0.00102132721804082</c:v>
                </c:pt>
                <c:pt idx="6">
                  <c:v>0.00102122570388019</c:v>
                </c:pt>
                <c:pt idx="7">
                  <c:v>0.0010211274784524</c:v>
                </c:pt>
                <c:pt idx="8">
                  <c:v>0.00102102744858712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'Eigenvector Angle'!O1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Angle'!$O$2:$O$10</c:f>
              <c:numCache>
                <c:formatCode>General</c:formatCode>
                <c:ptCount val="9"/>
                <c:pt idx="0">
                  <c:v>0.0114035192831182</c:v>
                </c:pt>
                <c:pt idx="1">
                  <c:v>0.0114047356731209</c:v>
                </c:pt>
                <c:pt idx="2">
                  <c:v>0.0114059294514389</c:v>
                </c:pt>
                <c:pt idx="3">
                  <c:v>0.0114071157452802</c:v>
                </c:pt>
                <c:pt idx="4">
                  <c:v>0.0114082801876759</c:v>
                </c:pt>
                <c:pt idx="5">
                  <c:v>0.0114070636337564</c:v>
                </c:pt>
                <c:pt idx="6">
                  <c:v>0.0114058692487473</c:v>
                </c:pt>
                <c:pt idx="7">
                  <c:v>0.0114046836606752</c:v>
                </c:pt>
                <c:pt idx="8">
                  <c:v>0.0114035192831182</c:v>
                </c:pt>
              </c:numCache>
            </c:numRef>
          </c:yVal>
          <c:smooth val="0"/>
        </c:ser>
        <c:axId val="72951918"/>
        <c:axId val="449931"/>
      </c:scatterChart>
      <c:valAx>
        <c:axId val="7295191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rad24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9931"/>
        <c:crosses val="autoZero"/>
        <c:crossBetween val="midCat"/>
      </c:valAx>
      <c:valAx>
        <c:axId val="449931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951918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0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1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2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3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4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5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20</v>
      </c>
      <c r="B2" s="0" t="n">
        <v>20</v>
      </c>
      <c r="C2" s="0" t="n">
        <v>4</v>
      </c>
      <c r="D2" s="0" t="n">
        <v>5</v>
      </c>
      <c r="E2" s="0" t="n">
        <v>5</v>
      </c>
      <c r="F2" s="0" t="n">
        <v>1</v>
      </c>
      <c r="G2" s="0" t="n">
        <v>0.001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0.0735589610231724</v>
      </c>
      <c r="L2" s="0" t="n">
        <v>0.0498505078150981</v>
      </c>
      <c r="M2" s="0" t="n">
        <v>0.806429328972791</v>
      </c>
      <c r="N2" s="0" t="n">
        <v>0.575982187388945</v>
      </c>
      <c r="O2" s="0" t="n">
        <v>1.25689617744898</v>
      </c>
      <c r="P2" s="0" t="s">
        <v>17</v>
      </c>
      <c r="Q2" s="0" t="n">
        <v>20</v>
      </c>
    </row>
    <row r="3" customFormat="false" ht="15" hidden="false" customHeight="false" outlineLevel="0" collapsed="false">
      <c r="A3" s="0" t="n">
        <v>30</v>
      </c>
      <c r="B3" s="0" t="n">
        <v>30</v>
      </c>
      <c r="C3" s="0" t="n">
        <v>4</v>
      </c>
      <c r="D3" s="0" t="n">
        <v>5</v>
      </c>
      <c r="E3" s="0" t="n">
        <v>5</v>
      </c>
      <c r="F3" s="0" t="n">
        <v>1</v>
      </c>
      <c r="G3" s="0" t="n">
        <v>0.001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0.0335308784680075</v>
      </c>
      <c r="L3" s="0" t="n">
        <v>0.0232052548593329</v>
      </c>
      <c r="M3" s="0" t="n">
        <v>0.63634045480985</v>
      </c>
      <c r="N3" s="0" t="n">
        <v>0.265584211148735</v>
      </c>
      <c r="O3" s="0" t="n">
        <v>0.715504986805562</v>
      </c>
      <c r="P3" s="0" t="s">
        <v>17</v>
      </c>
      <c r="Q3" s="0" t="n">
        <v>30</v>
      </c>
    </row>
    <row r="4" customFormat="false" ht="15" hidden="false" customHeight="false" outlineLevel="0" collapsed="false">
      <c r="A4" s="0" t="n">
        <v>50</v>
      </c>
      <c r="B4" s="0" t="n">
        <v>50</v>
      </c>
      <c r="C4" s="0" t="n">
        <v>4</v>
      </c>
      <c r="D4" s="0" t="n">
        <v>5</v>
      </c>
      <c r="E4" s="0" t="n">
        <v>5</v>
      </c>
      <c r="F4" s="0" t="n">
        <v>1</v>
      </c>
      <c r="G4" s="0" t="n">
        <v>0.001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0.0123427286946451</v>
      </c>
      <c r="L4" s="0" t="n">
        <v>0.00868332997043837</v>
      </c>
      <c r="M4" s="0" t="n">
        <v>0.483436726239272</v>
      </c>
      <c r="N4" s="0" t="n">
        <v>0.0983760024741969</v>
      </c>
      <c r="O4" s="0" t="n">
        <v>0.344384892080906</v>
      </c>
      <c r="P4" s="0" t="s">
        <v>17</v>
      </c>
      <c r="Q4" s="0" t="n">
        <v>50</v>
      </c>
    </row>
    <row r="5" customFormat="false" ht="15" hidden="false" customHeight="false" outlineLevel="0" collapsed="false">
      <c r="A5" s="0" t="n">
        <v>75</v>
      </c>
      <c r="B5" s="0" t="n">
        <v>75</v>
      </c>
      <c r="C5" s="0" t="n">
        <v>4</v>
      </c>
      <c r="D5" s="0" t="n">
        <v>5</v>
      </c>
      <c r="E5" s="0" t="n">
        <v>5</v>
      </c>
      <c r="F5" s="0" t="n">
        <v>1</v>
      </c>
      <c r="G5" s="0" t="n">
        <v>0.001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0.00555225785497338</v>
      </c>
      <c r="L5" s="0" t="n">
        <v>0.00393601078323276</v>
      </c>
      <c r="M5" s="0" t="n">
        <v>0.393986170057591</v>
      </c>
      <c r="N5" s="0" t="n">
        <v>0.0443360331355507</v>
      </c>
      <c r="O5" s="0" t="n">
        <v>0.190713441450172</v>
      </c>
      <c r="P5" s="0" t="s">
        <v>17</v>
      </c>
      <c r="Q5" s="0" t="n">
        <v>75</v>
      </c>
    </row>
    <row r="6" customFormat="false" ht="15" hidden="false" customHeight="false" outlineLevel="0" collapsed="false">
      <c r="A6" s="0" t="n">
        <v>100</v>
      </c>
      <c r="B6" s="0" t="n">
        <v>100</v>
      </c>
      <c r="C6" s="0" t="n">
        <v>4</v>
      </c>
      <c r="D6" s="0" t="n">
        <v>5</v>
      </c>
      <c r="E6" s="0" t="n">
        <v>5</v>
      </c>
      <c r="F6" s="0" t="n">
        <v>1</v>
      </c>
      <c r="G6" s="0" t="n">
        <v>0.001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0.00314187855938974</v>
      </c>
      <c r="L6" s="0" t="n">
        <v>0.0022360140455167</v>
      </c>
      <c r="M6" s="0" t="n">
        <v>0.34094687714457</v>
      </c>
      <c r="N6" s="0" t="n">
        <v>0.0251111806919653</v>
      </c>
      <c r="O6" s="0" t="n">
        <v>0.124932790177106</v>
      </c>
      <c r="P6" s="0" t="s">
        <v>17</v>
      </c>
      <c r="Q6" s="0" t="n">
        <v>100</v>
      </c>
    </row>
    <row r="7" customFormat="false" ht="15" hidden="false" customHeight="false" outlineLevel="0" collapsed="false">
      <c r="A7" s="0" t="n">
        <v>125</v>
      </c>
      <c r="B7" s="0" t="n">
        <v>125</v>
      </c>
      <c r="C7" s="0" t="n">
        <v>4</v>
      </c>
      <c r="D7" s="0" t="n">
        <v>5</v>
      </c>
      <c r="E7" s="0" t="n">
        <v>5</v>
      </c>
      <c r="F7" s="0" t="n">
        <v>1</v>
      </c>
      <c r="G7" s="0" t="n">
        <v>0.001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0.00201850416514393</v>
      </c>
      <c r="L7" s="0" t="n">
        <v>0.00143958208236755</v>
      </c>
      <c r="M7" s="0" t="n">
        <v>0.304705512564719</v>
      </c>
      <c r="N7" s="0" t="n">
        <v>0.0161371671674715</v>
      </c>
      <c r="O7" s="0" t="n">
        <v>0.0898508149915946</v>
      </c>
      <c r="P7" s="0" t="s">
        <v>17</v>
      </c>
      <c r="Q7" s="0" t="n">
        <v>125</v>
      </c>
    </row>
    <row r="8" customFormat="false" ht="15" hidden="false" customHeight="false" outlineLevel="0" collapsed="false">
      <c r="A8" s="0" t="n">
        <v>150</v>
      </c>
      <c r="B8" s="0" t="n">
        <v>150</v>
      </c>
      <c r="C8" s="0" t="n">
        <v>4</v>
      </c>
      <c r="D8" s="0" t="n">
        <v>5</v>
      </c>
      <c r="E8" s="0" t="n">
        <v>5</v>
      </c>
      <c r="F8" s="0" t="n">
        <v>1</v>
      </c>
      <c r="G8" s="0" t="n">
        <v>0.001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0.00140520960251234</v>
      </c>
      <c r="L8" s="0" t="n">
        <v>0.00100368508239148</v>
      </c>
      <c r="M8" s="0" t="n">
        <v>0.278502805483284</v>
      </c>
      <c r="N8" s="0" t="n">
        <v>0.0112369075795868</v>
      </c>
      <c r="O8" s="0" t="n">
        <v>0.0685834497472362</v>
      </c>
      <c r="P8" s="0" t="s">
        <v>17</v>
      </c>
      <c r="Q8" s="0" t="n">
        <v>150</v>
      </c>
    </row>
    <row r="9" customFormat="false" ht="15" hidden="false" customHeight="false" outlineLevel="0" collapsed="false">
      <c r="A9" s="0" t="n">
        <v>175</v>
      </c>
      <c r="B9" s="0" t="n">
        <v>175</v>
      </c>
      <c r="C9" s="0" t="n">
        <v>4</v>
      </c>
      <c r="D9" s="0" t="n">
        <v>5</v>
      </c>
      <c r="E9" s="0" t="n">
        <v>5</v>
      </c>
      <c r="F9" s="0" t="n">
        <v>1</v>
      </c>
      <c r="G9" s="0" t="n">
        <v>0.001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0.00103431553247058</v>
      </c>
      <c r="L9" s="0" t="n">
        <v>0.000739494223189678</v>
      </c>
      <c r="M9" s="0" t="n">
        <v>0.25796484482584</v>
      </c>
      <c r="N9" s="0" t="n">
        <v>0.00827167136958451</v>
      </c>
      <c r="O9" s="0" t="n">
        <v>0.0545562946657066</v>
      </c>
      <c r="P9" s="0" t="s">
        <v>17</v>
      </c>
      <c r="Q9" s="0" t="n">
        <v>175</v>
      </c>
    </row>
    <row r="10" customFormat="false" ht="15" hidden="false" customHeight="false" outlineLevel="0" collapsed="false">
      <c r="A10" s="0" t="n">
        <v>200</v>
      </c>
      <c r="B10" s="0" t="n">
        <v>200</v>
      </c>
      <c r="C10" s="0" t="n">
        <v>4</v>
      </c>
      <c r="D10" s="0" t="n">
        <v>5</v>
      </c>
      <c r="E10" s="0" t="n">
        <v>5</v>
      </c>
      <c r="F10" s="0" t="n">
        <v>1</v>
      </c>
      <c r="G10" s="0" t="n">
        <v>0.001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0.000792972242733336</v>
      </c>
      <c r="L10" s="0" t="n">
        <v>0.000567388425187966</v>
      </c>
      <c r="M10" s="0" t="n">
        <v>0.241199805877353</v>
      </c>
      <c r="N10" s="0" t="n">
        <v>0.0063422591847484</v>
      </c>
      <c r="O10" s="0" t="n">
        <v>0.0447348186945863</v>
      </c>
      <c r="P10" s="0" t="s">
        <v>17</v>
      </c>
      <c r="Q10" s="0" t="n">
        <v>200</v>
      </c>
    </row>
    <row r="11" customFormat="false" ht="15" hidden="false" customHeight="false" outlineLevel="0" collapsed="false">
      <c r="A11" s="0" t="n">
        <v>250</v>
      </c>
      <c r="B11" s="0" t="n">
        <v>250</v>
      </c>
      <c r="C11" s="0" t="n">
        <v>4</v>
      </c>
      <c r="D11" s="0" t="n">
        <v>5</v>
      </c>
      <c r="E11" s="0" t="n">
        <v>5</v>
      </c>
      <c r="F11" s="0" t="n">
        <v>1</v>
      </c>
      <c r="G11" s="0" t="n">
        <v>0.001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0.000508492850568532</v>
      </c>
      <c r="L11" s="0" t="n">
        <v>0.00036421766409353</v>
      </c>
      <c r="M11" s="0" t="n">
        <v>0.215684959798744</v>
      </c>
      <c r="N11" s="0" t="n">
        <v>0.00406732474948512</v>
      </c>
      <c r="O11" s="0" t="n">
        <v>0.0320908349971061</v>
      </c>
      <c r="P11" s="0" t="s">
        <v>17</v>
      </c>
      <c r="Q11" s="0" t="n">
        <v>250</v>
      </c>
    </row>
    <row r="12" customFormat="false" ht="15" hidden="false" customHeight="false" outlineLevel="0" collapsed="false">
      <c r="A12" s="0" t="n">
        <v>500</v>
      </c>
      <c r="B12" s="0" t="n">
        <v>500</v>
      </c>
      <c r="C12" s="0" t="n">
        <v>4</v>
      </c>
      <c r="D12" s="0" t="n">
        <v>5</v>
      </c>
      <c r="E12" s="0" t="n">
        <v>5</v>
      </c>
      <c r="F12" s="0" t="n">
        <v>1</v>
      </c>
      <c r="G12" s="0" t="n">
        <v>0.001</v>
      </c>
      <c r="H12" s="0" t="n">
        <v>12</v>
      </c>
      <c r="I12" s="1" t="b">
        <f aca="false">FALSE()</f>
        <v>0</v>
      </c>
      <c r="J12" s="1" t="b">
        <f aca="false">TRUE()</f>
        <v>1</v>
      </c>
      <c r="K12" s="0" t="n">
        <v>0.000127681145053238</v>
      </c>
      <c r="L12" s="0" t="n">
        <v>9.16423377527654E-005</v>
      </c>
      <c r="M12" s="0" t="n">
        <v>0.152678824611806</v>
      </c>
      <c r="N12" s="0" t="n">
        <v>0.0010214323119726</v>
      </c>
      <c r="O12" s="0" t="n">
        <v>0.0114082801876759</v>
      </c>
      <c r="P12" s="0" t="s">
        <v>17</v>
      </c>
      <c r="Q12" s="0" t="n">
        <v>500</v>
      </c>
    </row>
    <row r="13" customFormat="false" ht="15" hidden="false" customHeight="false" outlineLevel="0" collapsed="false">
      <c r="A13" s="0" t="n">
        <v>750</v>
      </c>
      <c r="B13" s="0" t="n">
        <v>750</v>
      </c>
      <c r="C13" s="0" t="n">
        <v>4</v>
      </c>
      <c r="D13" s="0" t="n">
        <v>5</v>
      </c>
      <c r="E13" s="0" t="n">
        <v>5</v>
      </c>
      <c r="F13" s="0" t="n">
        <v>1</v>
      </c>
      <c r="G13" s="0" t="n">
        <v>0.001</v>
      </c>
      <c r="H13" s="0" t="n">
        <v>12</v>
      </c>
      <c r="I13" s="1" t="b">
        <f aca="false">FALSE()</f>
        <v>0</v>
      </c>
      <c r="J13" s="1" t="b">
        <f aca="false">TRUE()</f>
        <v>1</v>
      </c>
      <c r="K13" s="0" t="n">
        <v>5.60689311097651E-005</v>
      </c>
      <c r="L13" s="0" t="n">
        <v>4.02694350715219E-005</v>
      </c>
      <c r="M13" s="0" t="n">
        <v>0.123036891380445</v>
      </c>
      <c r="N13" s="0" t="n">
        <v>0.000448687234893441</v>
      </c>
      <c r="O13" s="0" t="n">
        <v>0.00613765731410512</v>
      </c>
      <c r="P13" s="0" t="s">
        <v>17</v>
      </c>
      <c r="Q13" s="0" t="n">
        <v>750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500</v>
      </c>
      <c r="B2" s="0" t="n">
        <v>500</v>
      </c>
      <c r="C2" s="0" t="n">
        <v>0.05</v>
      </c>
      <c r="D2" s="0" t="n">
        <v>5</v>
      </c>
      <c r="E2" s="0" t="n">
        <v>5</v>
      </c>
      <c r="F2" s="0" t="n">
        <v>1</v>
      </c>
      <c r="G2" s="0" t="n">
        <v>0.001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3.31168555156515</v>
      </c>
      <c r="L2" s="0" t="n">
        <v>1.09171170381973</v>
      </c>
      <c r="M2" s="0" t="n">
        <v>1200242911.3025</v>
      </c>
      <c r="N2" s="0" t="n">
        <v>0.00500500001041086</v>
      </c>
      <c r="O2" s="0" t="n">
        <v>0.055901727448828</v>
      </c>
      <c r="P2" s="0" t="s">
        <v>18</v>
      </c>
      <c r="Q2" s="0" t="n">
        <v>0.05</v>
      </c>
    </row>
    <row r="3" customFormat="false" ht="15" hidden="false" customHeight="false" outlineLevel="0" collapsed="false">
      <c r="A3" s="0" t="n">
        <v>500</v>
      </c>
      <c r="B3" s="0" t="n">
        <v>500</v>
      </c>
      <c r="C3" s="0" t="n">
        <v>0.1</v>
      </c>
      <c r="D3" s="0" t="n">
        <v>5</v>
      </c>
      <c r="E3" s="0" t="n">
        <v>5</v>
      </c>
      <c r="F3" s="0" t="n">
        <v>1</v>
      </c>
      <c r="G3" s="0" t="n">
        <v>0.001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3.31126125318024</v>
      </c>
      <c r="L3" s="0" t="n">
        <v>1.09166213522635</v>
      </c>
      <c r="M3" s="0" t="n">
        <v>299977928.104903</v>
      </c>
      <c r="N3" s="0" t="n">
        <v>0.0200200001665738</v>
      </c>
      <c r="O3" s="0" t="n">
        <v>0.223606911190682</v>
      </c>
      <c r="P3" s="0" t="s">
        <v>18</v>
      </c>
      <c r="Q3" s="0" t="n">
        <v>0.1</v>
      </c>
    </row>
    <row r="4" customFormat="false" ht="15" hidden="false" customHeight="false" outlineLevel="0" collapsed="false">
      <c r="A4" s="0" t="n">
        <v>500</v>
      </c>
      <c r="B4" s="0" t="n">
        <v>500</v>
      </c>
      <c r="C4" s="0" t="n">
        <v>0.5</v>
      </c>
      <c r="D4" s="0" t="n">
        <v>5</v>
      </c>
      <c r="E4" s="0" t="n">
        <v>5</v>
      </c>
      <c r="F4" s="0" t="n">
        <v>1</v>
      </c>
      <c r="G4" s="0" t="n">
        <v>0.001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1.86321617423602E-006</v>
      </c>
      <c r="L4" s="0" t="n">
        <v>1.33719045557419E-006</v>
      </c>
      <c r="M4" s="0" t="n">
        <v>0.142550116016669</v>
      </c>
      <c r="N4" s="0" t="n">
        <v>1.49063998833299E-005</v>
      </c>
      <c r="O4" s="0" t="n">
        <v>0.000166486815957756</v>
      </c>
      <c r="P4" s="0" t="s">
        <v>18</v>
      </c>
      <c r="Q4" s="0" t="n">
        <v>0.5</v>
      </c>
    </row>
    <row r="5" customFormat="false" ht="15" hidden="false" customHeight="false" outlineLevel="0" collapsed="false">
      <c r="A5" s="0" t="n">
        <v>500</v>
      </c>
      <c r="B5" s="0" t="n">
        <v>500</v>
      </c>
      <c r="C5" s="0" t="n">
        <v>1</v>
      </c>
      <c r="D5" s="0" t="n">
        <v>5</v>
      </c>
      <c r="E5" s="0" t="n">
        <v>5</v>
      </c>
      <c r="F5" s="0" t="n">
        <v>1</v>
      </c>
      <c r="G5" s="0" t="n">
        <v>0.001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7.81681422923342E-007</v>
      </c>
      <c r="L5" s="0" t="n">
        <v>4.41959629404885E-007</v>
      </c>
      <c r="M5" s="0" t="n">
        <v>0.0118259609130917</v>
      </c>
      <c r="N5" s="0" t="n">
        <v>6.255810149014E-006</v>
      </c>
      <c r="O5" s="0" t="n">
        <v>5.71799929580812E-005</v>
      </c>
      <c r="P5" s="0" t="s">
        <v>18</v>
      </c>
      <c r="Q5" s="0" t="n">
        <v>1</v>
      </c>
    </row>
    <row r="6" customFormat="false" ht="15" hidden="false" customHeight="false" outlineLevel="0" collapsed="false">
      <c r="A6" s="0" t="n">
        <v>500</v>
      </c>
      <c r="B6" s="0" t="n">
        <v>500</v>
      </c>
      <c r="C6" s="0" t="n">
        <v>2</v>
      </c>
      <c r="D6" s="0" t="n">
        <v>5</v>
      </c>
      <c r="E6" s="0" t="n">
        <v>5</v>
      </c>
      <c r="F6" s="0" t="n">
        <v>1</v>
      </c>
      <c r="G6" s="0" t="n">
        <v>0.001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7.35264053930429E-006</v>
      </c>
      <c r="L6" s="0" t="n">
        <v>5.27680934277348E-006</v>
      </c>
      <c r="M6" s="0" t="n">
        <v>0.0351618272279541</v>
      </c>
      <c r="N6" s="0" t="n">
        <v>5.88462571613491E-005</v>
      </c>
      <c r="O6" s="0" t="n">
        <v>0.000656924446343473</v>
      </c>
      <c r="P6" s="0" t="s">
        <v>18</v>
      </c>
      <c r="Q6" s="0" t="n">
        <v>2</v>
      </c>
    </row>
    <row r="7" customFormat="false" ht="15" hidden="false" customHeight="false" outlineLevel="0" collapsed="false">
      <c r="A7" s="0" t="n">
        <v>500</v>
      </c>
      <c r="B7" s="0" t="n">
        <v>500</v>
      </c>
      <c r="C7" s="0" t="n">
        <v>2.5</v>
      </c>
      <c r="D7" s="0" t="n">
        <v>5</v>
      </c>
      <c r="E7" s="0" t="n">
        <v>5</v>
      </c>
      <c r="F7" s="0" t="n">
        <v>1</v>
      </c>
      <c r="G7" s="0" t="n">
        <v>0.001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1.92960729874514E-005</v>
      </c>
      <c r="L7" s="0" t="n">
        <v>1.38477331152369E-005</v>
      </c>
      <c r="M7" s="0" t="n">
        <v>0.0590563225500378</v>
      </c>
      <c r="N7" s="0" t="n">
        <v>0.000154410838149488</v>
      </c>
      <c r="O7" s="0" t="n">
        <v>0.00172393675396239</v>
      </c>
      <c r="P7" s="0" t="s">
        <v>18</v>
      </c>
      <c r="Q7" s="0" t="n">
        <v>2.5</v>
      </c>
    </row>
    <row r="8" customFormat="false" ht="15" hidden="false" customHeight="false" outlineLevel="0" collapsed="false">
      <c r="A8" s="0" t="n">
        <v>500</v>
      </c>
      <c r="B8" s="0" t="n">
        <v>500</v>
      </c>
      <c r="C8" s="0" t="n">
        <v>3</v>
      </c>
      <c r="D8" s="0" t="n">
        <v>5</v>
      </c>
      <c r="E8" s="0" t="n">
        <v>5</v>
      </c>
      <c r="F8" s="0" t="n">
        <v>1</v>
      </c>
      <c r="G8" s="0" t="n">
        <v>0.001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4.03049280697232E-005</v>
      </c>
      <c r="L8" s="0" t="n">
        <v>2.89273259539274E-005</v>
      </c>
      <c r="M8" s="0" t="n">
        <v>0.0856727669570706</v>
      </c>
      <c r="N8" s="0" t="n">
        <v>0.000322512409184128</v>
      </c>
      <c r="O8" s="0" t="n">
        <v>0.00360117042989066</v>
      </c>
      <c r="P8" s="0" t="s">
        <v>18</v>
      </c>
      <c r="Q8" s="0" t="n">
        <v>3</v>
      </c>
    </row>
    <row r="9" customFormat="false" ht="15" hidden="false" customHeight="false" outlineLevel="0" collapsed="false">
      <c r="A9" s="0" t="n">
        <v>500</v>
      </c>
      <c r="B9" s="0" t="n">
        <v>500</v>
      </c>
      <c r="C9" s="0" t="n">
        <v>3.5</v>
      </c>
      <c r="D9" s="0" t="n">
        <v>5</v>
      </c>
      <c r="E9" s="0" t="n">
        <v>5</v>
      </c>
      <c r="F9" s="0" t="n">
        <v>1</v>
      </c>
      <c r="G9" s="0" t="n">
        <v>0.001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7.46157914950363E-005</v>
      </c>
      <c r="L9" s="0" t="n">
        <v>5.35544889022776E-005</v>
      </c>
      <c r="M9" s="0" t="n">
        <v>0.116533052431197</v>
      </c>
      <c r="N9" s="0" t="n">
        <v>0.000596964353462681</v>
      </c>
      <c r="O9" s="0" t="n">
        <v>0.00666702419357008</v>
      </c>
      <c r="P9" s="0" t="s">
        <v>18</v>
      </c>
      <c r="Q9" s="0" t="n">
        <v>3.5</v>
      </c>
    </row>
    <row r="10" customFormat="false" ht="15" hidden="false" customHeight="false" outlineLevel="0" collapsed="false">
      <c r="A10" s="0" t="n">
        <v>500</v>
      </c>
      <c r="B10" s="0" t="n">
        <v>500</v>
      </c>
      <c r="C10" s="0" t="n">
        <v>4</v>
      </c>
      <c r="D10" s="0" t="n">
        <v>5</v>
      </c>
      <c r="E10" s="0" t="n">
        <v>5</v>
      </c>
      <c r="F10" s="0" t="n">
        <v>1</v>
      </c>
      <c r="G10" s="0" t="n">
        <v>0.001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0.000127681145053238</v>
      </c>
      <c r="L10" s="0" t="n">
        <v>9.16423377527654E-005</v>
      </c>
      <c r="M10" s="0" t="n">
        <v>0.152678824611806</v>
      </c>
      <c r="N10" s="0" t="n">
        <v>0.0010214323119726</v>
      </c>
      <c r="O10" s="0" t="n">
        <v>0.0114082801876759</v>
      </c>
      <c r="P10" s="0" t="s">
        <v>18</v>
      </c>
      <c r="Q10" s="0" t="n">
        <v>4</v>
      </c>
    </row>
    <row r="11" customFormat="false" ht="15" hidden="false" customHeight="false" outlineLevel="0" collapsed="false">
      <c r="A11" s="0" t="n">
        <v>500</v>
      </c>
      <c r="B11" s="0" t="n">
        <v>500</v>
      </c>
      <c r="C11" s="0" t="n">
        <v>5</v>
      </c>
      <c r="D11" s="0" t="n">
        <v>5</v>
      </c>
      <c r="E11" s="0" t="n">
        <v>5</v>
      </c>
      <c r="F11" s="0" t="n">
        <v>1</v>
      </c>
      <c r="G11" s="0" t="n">
        <v>0.001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0.000311675170939996</v>
      </c>
      <c r="L11" s="0" t="n">
        <v>0.000223700881840271</v>
      </c>
      <c r="M11" s="0" t="n">
        <v>0.238540504603818</v>
      </c>
      <c r="N11" s="0" t="n">
        <v>0.00249316319241189</v>
      </c>
      <c r="O11" s="0" t="n">
        <v>0.0278447202845095</v>
      </c>
      <c r="P11" s="0" t="s">
        <v>18</v>
      </c>
      <c r="Q11" s="0" t="n">
        <v>5</v>
      </c>
    </row>
    <row r="12" customFormat="false" ht="15" hidden="false" customHeight="false" outlineLevel="0" collapsed="false">
      <c r="A12" s="0" t="n">
        <v>500</v>
      </c>
      <c r="B12" s="0" t="n">
        <v>500</v>
      </c>
      <c r="C12" s="0" t="n">
        <v>7.5</v>
      </c>
      <c r="D12" s="0" t="n">
        <v>5</v>
      </c>
      <c r="E12" s="0" t="n">
        <v>5</v>
      </c>
      <c r="F12" s="0" t="n">
        <v>1</v>
      </c>
      <c r="G12" s="0" t="n">
        <v>0.001</v>
      </c>
      <c r="H12" s="0" t="n">
        <v>12</v>
      </c>
      <c r="I12" s="1" t="b">
        <f aca="false">FALSE()</f>
        <v>0</v>
      </c>
      <c r="J12" s="1" t="b">
        <f aca="false">TRUE()</f>
        <v>1</v>
      </c>
      <c r="K12" s="0" t="n">
        <v>0.00157886224163506</v>
      </c>
      <c r="L12" s="0" t="n">
        <v>0.00113316958303947</v>
      </c>
      <c r="M12" s="0" t="n">
        <v>0.537172897757345</v>
      </c>
      <c r="N12" s="0" t="n">
        <v>0.0126174472970888</v>
      </c>
      <c r="O12" s="0" t="n">
        <v>0.140923183576366</v>
      </c>
      <c r="P12" s="0" t="s">
        <v>18</v>
      </c>
      <c r="Q12" s="0" t="n">
        <v>7.5</v>
      </c>
    </row>
    <row r="13" customFormat="false" ht="15" hidden="false" customHeight="false" outlineLevel="0" collapsed="false">
      <c r="A13" s="0" t="n">
        <v>500</v>
      </c>
      <c r="B13" s="0" t="n">
        <v>500</v>
      </c>
      <c r="C13" s="0" t="n">
        <v>10</v>
      </c>
      <c r="D13" s="0" t="n">
        <v>5</v>
      </c>
      <c r="E13" s="0" t="n">
        <v>5</v>
      </c>
      <c r="F13" s="0" t="n">
        <v>1</v>
      </c>
      <c r="G13" s="0" t="n">
        <v>0.001</v>
      </c>
      <c r="H13" s="0" t="n">
        <v>12</v>
      </c>
      <c r="I13" s="1" t="b">
        <f aca="false">FALSE()</f>
        <v>0</v>
      </c>
      <c r="J13" s="1" t="b">
        <f aca="false">TRUE()</f>
        <v>1</v>
      </c>
      <c r="K13" s="0" t="n">
        <v>0.00500331768801554</v>
      </c>
      <c r="L13" s="0" t="n">
        <v>0.00359058315866641</v>
      </c>
      <c r="M13" s="0" t="n">
        <v>0.957742518439517</v>
      </c>
      <c r="N13" s="0" t="n">
        <v>0.0398764669371303</v>
      </c>
      <c r="O13" s="0" t="n">
        <v>0.445386541885963</v>
      </c>
      <c r="P13" s="0" t="s">
        <v>18</v>
      </c>
      <c r="Q13" s="0" t="n">
        <v>10</v>
      </c>
    </row>
    <row r="14" customFormat="false" ht="15" hidden="false" customHeight="false" outlineLevel="0" collapsed="false">
      <c r="A14" s="0" t="n">
        <v>500</v>
      </c>
      <c r="B14" s="0" t="n">
        <v>500</v>
      </c>
      <c r="C14" s="0" t="n">
        <v>15</v>
      </c>
      <c r="D14" s="0" t="n">
        <v>5</v>
      </c>
      <c r="E14" s="0" t="n">
        <v>5</v>
      </c>
      <c r="F14" s="0" t="n">
        <v>1</v>
      </c>
      <c r="G14" s="0" t="n">
        <v>0.001</v>
      </c>
      <c r="H14" s="0" t="n">
        <v>12</v>
      </c>
      <c r="I14" s="1" t="b">
        <f aca="false">FALSE()</f>
        <v>0</v>
      </c>
      <c r="J14" s="1" t="b">
        <f aca="false">TRUE()</f>
        <v>1</v>
      </c>
      <c r="K14" s="0" t="n">
        <v>0.0257492704206375</v>
      </c>
      <c r="L14" s="0" t="n">
        <v>0.0184673985368782</v>
      </c>
      <c r="M14" s="0" t="n">
        <v>2.19109436028063</v>
      </c>
      <c r="N14" s="0" t="n">
        <v>0.201850646844832</v>
      </c>
      <c r="O14" s="0" t="n">
        <v>2.25450453721258</v>
      </c>
      <c r="P14" s="0" t="s">
        <v>18</v>
      </c>
      <c r="Q14" s="0" t="n">
        <v>15</v>
      </c>
    </row>
    <row r="15" customFormat="false" ht="15" hidden="false" customHeight="false" outlineLevel="0" collapsed="false">
      <c r="A15" s="0" t="n">
        <v>500</v>
      </c>
      <c r="B15" s="0" t="n">
        <v>500</v>
      </c>
      <c r="C15" s="0" t="n">
        <v>20</v>
      </c>
      <c r="D15" s="0" t="n">
        <v>5</v>
      </c>
      <c r="E15" s="0" t="n">
        <v>5</v>
      </c>
      <c r="F15" s="0" t="n">
        <v>1</v>
      </c>
      <c r="G15" s="0" t="n">
        <v>0.001</v>
      </c>
      <c r="H15" s="0" t="n">
        <v>12</v>
      </c>
      <c r="I15" s="1" t="b">
        <f aca="false">FALSE()</f>
        <v>0</v>
      </c>
      <c r="J15" s="1" t="b">
        <f aca="false">TRUE()</f>
        <v>1</v>
      </c>
      <c r="K15" s="0" t="n">
        <v>0.0852487991591353</v>
      </c>
      <c r="L15" s="0" t="n">
        <v>0.0610383741520857</v>
      </c>
      <c r="M15" s="0" t="n">
        <v>4.07709816557598</v>
      </c>
      <c r="N15" s="0" t="n">
        <v>0.637840057606809</v>
      </c>
      <c r="O15" s="0" t="n">
        <v>7.12414779043501</v>
      </c>
      <c r="P15" s="0" t="s">
        <v>18</v>
      </c>
      <c r="Q15" s="0" t="n">
        <v>20</v>
      </c>
    </row>
    <row r="16" customFormat="false" ht="15" hidden="false" customHeight="false" outlineLevel="0" collapsed="false">
      <c r="A16" s="0" t="n">
        <v>500</v>
      </c>
      <c r="B16" s="0" t="n">
        <v>500</v>
      </c>
      <c r="C16" s="0" t="n">
        <v>30</v>
      </c>
      <c r="D16" s="0" t="n">
        <v>5</v>
      </c>
      <c r="E16" s="0" t="n">
        <v>5</v>
      </c>
      <c r="F16" s="0" t="n">
        <v>1</v>
      </c>
      <c r="G16" s="0" t="n">
        <v>0.001</v>
      </c>
      <c r="H16" s="0" t="n">
        <v>12</v>
      </c>
      <c r="I16" s="1" t="b">
        <f aca="false">FALSE()</f>
        <v>0</v>
      </c>
      <c r="J16" s="1" t="b">
        <f aca="false">TRUE()</f>
        <v>1</v>
      </c>
      <c r="K16" s="0" t="n">
        <v>0.601984223127372</v>
      </c>
      <c r="L16" s="0" t="n">
        <v>0.426378280982382</v>
      </c>
      <c r="M16" s="0" t="n">
        <v>12.6685082174711</v>
      </c>
      <c r="N16" s="0" t="n">
        <v>3.22751427671756</v>
      </c>
      <c r="O16" s="0" t="n">
        <v>36.0486757418717</v>
      </c>
      <c r="P16" s="0" t="s">
        <v>18</v>
      </c>
      <c r="Q16" s="0" t="n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500</v>
      </c>
      <c r="B2" s="0" t="n">
        <v>500</v>
      </c>
      <c r="C2" s="0" t="n">
        <v>4</v>
      </c>
      <c r="D2" s="0" t="n">
        <v>5</v>
      </c>
      <c r="E2" s="0" t="n">
        <v>5</v>
      </c>
      <c r="F2" s="0" t="n">
        <v>1</v>
      </c>
      <c r="G2" s="0" t="n">
        <v>0.001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0.000127681145053238</v>
      </c>
      <c r="L2" s="0" t="n">
        <v>9.16423377527654E-005</v>
      </c>
      <c r="M2" s="0" t="n">
        <v>0.152678824611806</v>
      </c>
      <c r="N2" s="0" t="n">
        <v>0.0010214323119726</v>
      </c>
      <c r="O2" s="0" t="n">
        <v>0.0114082801876759</v>
      </c>
      <c r="P2" s="0" t="s">
        <v>3</v>
      </c>
      <c r="Q2" s="0" t="n">
        <v>5</v>
      </c>
    </row>
    <row r="3" customFormat="false" ht="15" hidden="false" customHeight="false" outlineLevel="0" collapsed="false">
      <c r="A3" s="0" t="n">
        <v>500</v>
      </c>
      <c r="B3" s="0" t="n">
        <v>500</v>
      </c>
      <c r="C3" s="0" t="n">
        <v>4</v>
      </c>
      <c r="D3" s="0" t="n">
        <v>7</v>
      </c>
      <c r="E3" s="0" t="n">
        <v>5</v>
      </c>
      <c r="F3" s="0" t="n">
        <v>1</v>
      </c>
      <c r="G3" s="0" t="n">
        <v>0.001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0.000127756083707187</v>
      </c>
      <c r="L3" s="0" t="n">
        <v>9.16960015467073E-005</v>
      </c>
      <c r="M3" s="0" t="n">
        <v>0.15392176107903</v>
      </c>
      <c r="N3" s="0" t="n">
        <v>0.00102208882890409</v>
      </c>
      <c r="O3" s="0" t="n">
        <v>0.0114149508841717</v>
      </c>
      <c r="P3" s="0" t="s">
        <v>3</v>
      </c>
      <c r="Q3" s="0" t="n">
        <v>7</v>
      </c>
    </row>
    <row r="4" customFormat="false" ht="15" hidden="false" customHeight="false" outlineLevel="0" collapsed="false">
      <c r="A4" s="0" t="n">
        <v>500</v>
      </c>
      <c r="B4" s="0" t="n">
        <v>500</v>
      </c>
      <c r="C4" s="0" t="n">
        <v>4</v>
      </c>
      <c r="D4" s="0" t="n">
        <v>10</v>
      </c>
      <c r="E4" s="0" t="n">
        <v>5</v>
      </c>
      <c r="F4" s="0" t="n">
        <v>1</v>
      </c>
      <c r="G4" s="0" t="n">
        <v>0.001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0.000298305852530767</v>
      </c>
      <c r="L4" s="0" t="n">
        <v>0.000213684074354901</v>
      </c>
      <c r="M4" s="0" t="n">
        <v>727.102450520383</v>
      </c>
      <c r="N4" s="0" t="n">
        <v>0.00238198068109341</v>
      </c>
      <c r="O4" s="0" t="n">
        <v>0.0266043495404692</v>
      </c>
      <c r="P4" s="0" t="s">
        <v>3</v>
      </c>
      <c r="Q4" s="0" t="n">
        <v>10</v>
      </c>
    </row>
    <row r="5" customFormat="false" ht="15" hidden="false" customHeight="false" outlineLevel="0" collapsed="false">
      <c r="A5" s="0" t="n">
        <v>500</v>
      </c>
      <c r="B5" s="0" t="n">
        <v>500</v>
      </c>
      <c r="C5" s="0" t="n">
        <v>4</v>
      </c>
      <c r="D5" s="0" t="n">
        <v>15</v>
      </c>
      <c r="E5" s="0" t="n">
        <v>5</v>
      </c>
      <c r="F5" s="0" t="n">
        <v>1</v>
      </c>
      <c r="G5" s="0" t="n">
        <v>0.001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0.00138039955120806</v>
      </c>
      <c r="L5" s="0" t="n">
        <v>0.000536626242615603</v>
      </c>
      <c r="M5" s="0" t="n">
        <v>2147.83935414693</v>
      </c>
      <c r="N5" s="0" t="n">
        <v>0.00524700598543859</v>
      </c>
      <c r="O5" s="0" t="n">
        <v>0.0543758603733847</v>
      </c>
      <c r="P5" s="0" t="s">
        <v>3</v>
      </c>
      <c r="Q5" s="0" t="n">
        <v>15</v>
      </c>
    </row>
    <row r="6" customFormat="false" ht="15" hidden="false" customHeight="false" outlineLevel="0" collapsed="false">
      <c r="A6" s="0" t="n">
        <v>500</v>
      </c>
      <c r="B6" s="0" t="n">
        <v>500</v>
      </c>
      <c r="C6" s="0" t="n">
        <v>4</v>
      </c>
      <c r="D6" s="0" t="n">
        <v>20</v>
      </c>
      <c r="E6" s="0" t="n">
        <v>5</v>
      </c>
      <c r="F6" s="0" t="n">
        <v>1</v>
      </c>
      <c r="G6" s="0" t="n">
        <v>0.001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0.0021243057388447</v>
      </c>
      <c r="L6" s="0" t="n">
        <v>0.000571231799050449</v>
      </c>
      <c r="M6" s="0" t="n">
        <v>6344.70919005058</v>
      </c>
      <c r="N6" s="0" t="n">
        <v>0.00656078231622814</v>
      </c>
      <c r="O6" s="0" t="n">
        <v>0.0654046031486092</v>
      </c>
      <c r="P6" s="0" t="s">
        <v>3</v>
      </c>
      <c r="Q6" s="0" t="n">
        <v>20</v>
      </c>
    </row>
    <row r="7" customFormat="false" ht="15" hidden="false" customHeight="false" outlineLevel="0" collapsed="false">
      <c r="A7" s="0" t="n">
        <v>500</v>
      </c>
      <c r="B7" s="0" t="n">
        <v>500</v>
      </c>
      <c r="C7" s="0" t="n">
        <v>4</v>
      </c>
      <c r="D7" s="0" t="n">
        <v>25</v>
      </c>
      <c r="E7" s="0" t="n">
        <v>5</v>
      </c>
      <c r="F7" s="0" t="n">
        <v>1</v>
      </c>
      <c r="G7" s="0" t="n">
        <v>0.001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0.00198445875074382</v>
      </c>
      <c r="L7" s="0" t="n">
        <v>0.000796386069053312</v>
      </c>
      <c r="M7" s="0" t="n">
        <v>17523.4305989292</v>
      </c>
      <c r="N7" s="0" t="n">
        <v>0.0104802704699978</v>
      </c>
      <c r="O7" s="0" t="n">
        <v>0.0960188157764747</v>
      </c>
      <c r="P7" s="0" t="s">
        <v>3</v>
      </c>
      <c r="Q7" s="0" t="n">
        <v>25</v>
      </c>
    </row>
    <row r="8" customFormat="false" ht="15" hidden="false" customHeight="false" outlineLevel="0" collapsed="false">
      <c r="A8" s="0" t="n">
        <v>500</v>
      </c>
      <c r="B8" s="0" t="n">
        <v>500</v>
      </c>
      <c r="C8" s="0" t="n">
        <v>4</v>
      </c>
      <c r="D8" s="0" t="n">
        <v>40</v>
      </c>
      <c r="E8" s="0" t="n">
        <v>5</v>
      </c>
      <c r="F8" s="0" t="n">
        <v>1</v>
      </c>
      <c r="G8" s="0" t="n">
        <v>0.001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0.0324485946399901</v>
      </c>
      <c r="L8" s="0" t="n">
        <v>0.00568588778786971</v>
      </c>
      <c r="M8" s="0" t="n">
        <v>13474.5670095572</v>
      </c>
      <c r="N8" s="0" t="n">
        <v>0.0181665347481612</v>
      </c>
      <c r="O8" s="0" t="n">
        <v>0.139221493561418</v>
      </c>
      <c r="P8" s="0" t="s">
        <v>3</v>
      </c>
      <c r="Q8" s="0" t="n">
        <v>40</v>
      </c>
    </row>
    <row r="9" customFormat="false" ht="15" hidden="false" customHeight="false" outlineLevel="0" collapsed="false">
      <c r="A9" s="0" t="n">
        <v>500</v>
      </c>
      <c r="B9" s="0" t="n">
        <v>500</v>
      </c>
      <c r="C9" s="0" t="n">
        <v>4</v>
      </c>
      <c r="D9" s="0" t="n">
        <v>50</v>
      </c>
      <c r="E9" s="0" t="n">
        <v>5</v>
      </c>
      <c r="F9" s="0" t="n">
        <v>1</v>
      </c>
      <c r="G9" s="0" t="n">
        <v>0.001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0.00771068394791707</v>
      </c>
      <c r="L9" s="0" t="n">
        <v>0.00214163168303264</v>
      </c>
      <c r="M9" s="0" t="n">
        <v>2896.08292919932</v>
      </c>
      <c r="N9" s="0" t="n">
        <v>0.0271436327384436</v>
      </c>
      <c r="O9" s="0" t="n">
        <v>0.186254772148851</v>
      </c>
      <c r="P9" s="0" t="s">
        <v>3</v>
      </c>
      <c r="Q9" s="0" t="n">
        <v>50</v>
      </c>
    </row>
    <row r="10" customFormat="false" ht="15" hidden="false" customHeight="false" outlineLevel="0" collapsed="false">
      <c r="A10" s="0" t="n">
        <v>500</v>
      </c>
      <c r="B10" s="0" t="n">
        <v>500</v>
      </c>
      <c r="C10" s="0" t="n">
        <v>4</v>
      </c>
      <c r="D10" s="0" t="n">
        <v>65</v>
      </c>
      <c r="E10" s="0" t="n">
        <v>5</v>
      </c>
      <c r="F10" s="0" t="n">
        <v>1</v>
      </c>
      <c r="G10" s="0" t="n">
        <v>0.001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0.0237951901462064</v>
      </c>
      <c r="L10" s="0" t="n">
        <v>0.00392901311745481</v>
      </c>
      <c r="M10" s="0" t="n">
        <v>6546.50433925817</v>
      </c>
      <c r="N10" s="0" t="n">
        <v>0.0356159584271154</v>
      </c>
      <c r="O10" s="0" t="n">
        <v>0.229835038426164</v>
      </c>
      <c r="P10" s="0" t="s">
        <v>3</v>
      </c>
      <c r="Q10" s="0" t="n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500</v>
      </c>
      <c r="B2" s="0" t="n">
        <v>500</v>
      </c>
      <c r="C2" s="0" t="n">
        <v>4</v>
      </c>
      <c r="D2" s="0" t="n">
        <v>5</v>
      </c>
      <c r="E2" s="0" t="n">
        <v>5</v>
      </c>
      <c r="F2" s="0" t="n">
        <v>1</v>
      </c>
      <c r="G2" s="0" t="n">
        <v>0.001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0.000127681145053238</v>
      </c>
      <c r="L2" s="0" t="n">
        <v>9.16423377527654E-005</v>
      </c>
      <c r="M2" s="0" t="n">
        <v>0.152678824611806</v>
      </c>
      <c r="N2" s="0" t="n">
        <v>0.0010214323119726</v>
      </c>
      <c r="O2" s="0" t="n">
        <v>0.0114082801876759</v>
      </c>
      <c r="P2" s="0" t="s">
        <v>4</v>
      </c>
      <c r="Q2" s="0" t="n">
        <v>5</v>
      </c>
    </row>
    <row r="3" customFormat="false" ht="15" hidden="false" customHeight="false" outlineLevel="0" collapsed="false">
      <c r="A3" s="0" t="n">
        <v>500</v>
      </c>
      <c r="B3" s="0" t="n">
        <v>500</v>
      </c>
      <c r="C3" s="0" t="n">
        <v>4</v>
      </c>
      <c r="D3" s="0" t="n">
        <v>5</v>
      </c>
      <c r="E3" s="0" t="n">
        <v>6</v>
      </c>
      <c r="F3" s="0" t="n">
        <v>1</v>
      </c>
      <c r="G3" s="0" t="n">
        <v>0.001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0.000127934960646448</v>
      </c>
      <c r="L3" s="0" t="n">
        <v>9.18246526207106E-005</v>
      </c>
      <c r="M3" s="0" t="n">
        <v>0.153240519102818</v>
      </c>
      <c r="N3" s="0" t="n">
        <v>0.00102349100052379</v>
      </c>
      <c r="O3" s="0" t="n">
        <v>0.0114309733754363</v>
      </c>
      <c r="P3" s="0" t="s">
        <v>4</v>
      </c>
      <c r="Q3" s="0" t="n">
        <v>6</v>
      </c>
    </row>
    <row r="4" customFormat="false" ht="15" hidden="false" customHeight="false" outlineLevel="0" collapsed="false">
      <c r="A4" s="0" t="n">
        <v>500</v>
      </c>
      <c r="B4" s="0" t="n">
        <v>500</v>
      </c>
      <c r="C4" s="0" t="n">
        <v>4</v>
      </c>
      <c r="D4" s="0" t="n">
        <v>5</v>
      </c>
      <c r="E4" s="0" t="n">
        <v>7</v>
      </c>
      <c r="F4" s="0" t="n">
        <v>1</v>
      </c>
      <c r="G4" s="0" t="n">
        <v>0.001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0.000127818011653735</v>
      </c>
      <c r="L4" s="0" t="n">
        <v>9.16813485786185E-005</v>
      </c>
      <c r="M4" s="0" t="n">
        <v>0.153076738417135</v>
      </c>
      <c r="N4" s="0" t="n">
        <v>0.00102265120949596</v>
      </c>
      <c r="O4" s="0" t="n">
        <v>0.0114131640945447</v>
      </c>
      <c r="P4" s="0" t="s">
        <v>4</v>
      </c>
      <c r="Q4" s="0" t="n">
        <v>7</v>
      </c>
    </row>
    <row r="5" customFormat="false" ht="15" hidden="false" customHeight="false" outlineLevel="0" collapsed="false">
      <c r="A5" s="0" t="n">
        <v>500</v>
      </c>
      <c r="B5" s="0" t="n">
        <v>500</v>
      </c>
      <c r="C5" s="0" t="n">
        <v>4</v>
      </c>
      <c r="D5" s="0" t="n">
        <v>5</v>
      </c>
      <c r="E5" s="0" t="n">
        <v>8</v>
      </c>
      <c r="F5" s="0" t="n">
        <v>1</v>
      </c>
      <c r="G5" s="0" t="n">
        <v>0.001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0.000127697509941127</v>
      </c>
      <c r="L5" s="0" t="n">
        <v>9.16521811091027E-005</v>
      </c>
      <c r="M5" s="0" t="n">
        <v>0.153138333594999</v>
      </c>
      <c r="N5" s="0" t="n">
        <v>0.00102161796530709</v>
      </c>
      <c r="O5" s="0" t="n">
        <v>0.0114094946979333</v>
      </c>
      <c r="P5" s="0" t="s">
        <v>4</v>
      </c>
      <c r="Q5" s="0" t="n">
        <v>8</v>
      </c>
    </row>
    <row r="6" customFormat="false" ht="15" hidden="false" customHeight="false" outlineLevel="0" collapsed="false">
      <c r="A6" s="0" t="n">
        <v>500</v>
      </c>
      <c r="B6" s="0" t="n">
        <v>500</v>
      </c>
      <c r="C6" s="0" t="n">
        <v>4</v>
      </c>
      <c r="D6" s="0" t="n">
        <v>5</v>
      </c>
      <c r="E6" s="0" t="n">
        <v>9</v>
      </c>
      <c r="F6" s="0" t="n">
        <v>1</v>
      </c>
      <c r="G6" s="0" t="n">
        <v>0.001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0.000127540377147239</v>
      </c>
      <c r="L6" s="0" t="n">
        <v>9.15406456106286E-005</v>
      </c>
      <c r="M6" s="0" t="n">
        <v>0.15299410182017</v>
      </c>
      <c r="N6" s="0" t="n">
        <v>0.00102030282141641</v>
      </c>
      <c r="O6" s="0" t="n">
        <v>0.0113956290695822</v>
      </c>
      <c r="P6" s="0" t="s">
        <v>4</v>
      </c>
      <c r="Q6" s="0" t="n">
        <v>9</v>
      </c>
    </row>
    <row r="7" customFormat="false" ht="15" hidden="false" customHeight="false" outlineLevel="0" collapsed="false">
      <c r="A7" s="0" t="n">
        <v>500</v>
      </c>
      <c r="B7" s="0" t="n">
        <v>500</v>
      </c>
      <c r="C7" s="0" t="n">
        <v>4</v>
      </c>
      <c r="D7" s="0" t="n">
        <v>5</v>
      </c>
      <c r="E7" s="0" t="n">
        <v>10</v>
      </c>
      <c r="F7" s="0" t="n">
        <v>1</v>
      </c>
      <c r="G7" s="0" t="n">
        <v>0.001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0.000127541838931711</v>
      </c>
      <c r="L7" s="0" t="n">
        <v>9.15409697788747E-005</v>
      </c>
      <c r="M7" s="0" t="n">
        <v>0.153001686808779</v>
      </c>
      <c r="N7" s="0" t="n">
        <v>0.00102032191352919</v>
      </c>
      <c r="O7" s="0" t="n">
        <v>0.0113956499300768</v>
      </c>
      <c r="P7" s="0" t="s">
        <v>4</v>
      </c>
      <c r="Q7" s="0" t="n">
        <v>10</v>
      </c>
    </row>
    <row r="8" customFormat="false" ht="15" hidden="false" customHeight="false" outlineLevel="0" collapsed="false">
      <c r="A8" s="0" t="n">
        <v>500</v>
      </c>
      <c r="B8" s="0" t="n">
        <v>500</v>
      </c>
      <c r="C8" s="0" t="n">
        <v>4</v>
      </c>
      <c r="D8" s="0" t="n">
        <v>5</v>
      </c>
      <c r="E8" s="0" t="n">
        <v>11</v>
      </c>
      <c r="F8" s="0" t="n">
        <v>1</v>
      </c>
      <c r="G8" s="0" t="n">
        <v>0.001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0.000127580668046745</v>
      </c>
      <c r="L8" s="0" t="n">
        <v>9.156944357118E-005</v>
      </c>
      <c r="M8" s="0" t="n">
        <v>0.153082910567451</v>
      </c>
      <c r="N8" s="0" t="n">
        <v>0.00102062764926814</v>
      </c>
      <c r="O8" s="0" t="n">
        <v>0.011399199776651</v>
      </c>
      <c r="P8" s="0" t="s">
        <v>4</v>
      </c>
      <c r="Q8" s="0" t="n">
        <v>11</v>
      </c>
    </row>
    <row r="9" customFormat="false" ht="15" hidden="false" customHeight="false" outlineLevel="0" collapsed="false">
      <c r="A9" s="0" t="n">
        <v>500</v>
      </c>
      <c r="B9" s="0" t="n">
        <v>500</v>
      </c>
      <c r="C9" s="0" t="n">
        <v>4</v>
      </c>
      <c r="D9" s="0" t="n">
        <v>5</v>
      </c>
      <c r="E9" s="0" t="n">
        <v>12</v>
      </c>
      <c r="F9" s="0" t="n">
        <v>1</v>
      </c>
      <c r="G9" s="0" t="n">
        <v>0.001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0.000127653255378224</v>
      </c>
      <c r="L9" s="0" t="n">
        <v>9.16222517158351E-005</v>
      </c>
      <c r="M9" s="0" t="n">
        <v>0.153229281973423</v>
      </c>
      <c r="N9" s="0" t="n">
        <v>0.00102128661819734</v>
      </c>
      <c r="O9" s="0" t="n">
        <v>0.0114057725273006</v>
      </c>
      <c r="P9" s="0" t="s">
        <v>4</v>
      </c>
      <c r="Q9" s="0" t="n">
        <v>12</v>
      </c>
    </row>
    <row r="10" customFormat="false" ht="15" hidden="false" customHeight="false" outlineLevel="0" collapsed="false">
      <c r="A10" s="0" t="n">
        <v>500</v>
      </c>
      <c r="B10" s="0" t="n">
        <v>500</v>
      </c>
      <c r="C10" s="0" t="n">
        <v>4</v>
      </c>
      <c r="D10" s="0" t="n">
        <v>5</v>
      </c>
      <c r="E10" s="0" t="n">
        <v>13</v>
      </c>
      <c r="F10" s="0" t="n">
        <v>1</v>
      </c>
      <c r="G10" s="0" t="n">
        <v>0.001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0.000127547114062265</v>
      </c>
      <c r="L10" s="0" t="n">
        <v>9.15283715453105E-005</v>
      </c>
      <c r="M10" s="0" t="n">
        <v>0.153110973540711</v>
      </c>
      <c r="N10" s="0" t="n">
        <v>0.00102082296507433</v>
      </c>
      <c r="O10" s="0" t="n">
        <v>0.0113941335033931</v>
      </c>
      <c r="P10" s="0" t="s">
        <v>4</v>
      </c>
      <c r="Q10" s="0" t="n">
        <v>13</v>
      </c>
    </row>
    <row r="11" customFormat="false" ht="15" hidden="false" customHeight="false" outlineLevel="0" collapsed="false">
      <c r="A11" s="0" t="n">
        <v>500</v>
      </c>
      <c r="B11" s="0" t="n">
        <v>500</v>
      </c>
      <c r="C11" s="0" t="n">
        <v>4</v>
      </c>
      <c r="D11" s="0" t="n">
        <v>5</v>
      </c>
      <c r="E11" s="0" t="n">
        <v>14</v>
      </c>
      <c r="F11" s="0" t="n">
        <v>1</v>
      </c>
      <c r="G11" s="0" t="n">
        <v>0.001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0.000127511815480208</v>
      </c>
      <c r="L11" s="0" t="n">
        <v>9.14634799660583E-005</v>
      </c>
      <c r="M11" s="0" t="n">
        <v>0.153020082275925</v>
      </c>
      <c r="N11" s="0" t="n">
        <v>0.00102147046709433</v>
      </c>
      <c r="O11" s="0" t="n">
        <v>0.0113859451108176</v>
      </c>
      <c r="P11" s="0" t="s">
        <v>4</v>
      </c>
      <c r="Q11" s="0" t="n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500</v>
      </c>
      <c r="B2" s="0" t="n">
        <v>500</v>
      </c>
      <c r="C2" s="0" t="n">
        <v>4</v>
      </c>
      <c r="D2" s="0" t="n">
        <v>5</v>
      </c>
      <c r="E2" s="0" t="n">
        <v>5</v>
      </c>
      <c r="F2" s="0" t="n">
        <v>1</v>
      </c>
      <c r="G2" s="0" t="n">
        <v>10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0.000138240535075163</v>
      </c>
      <c r="L2" s="0" t="n">
        <v>8.54312432685593E-005</v>
      </c>
      <c r="M2" s="0" t="n">
        <v>0.144601455946576</v>
      </c>
      <c r="N2" s="0" t="n">
        <v>0.0112204456236213</v>
      </c>
      <c r="O2" s="0" t="n">
        <v>0.125318109162216</v>
      </c>
      <c r="P2" s="0" t="s">
        <v>19</v>
      </c>
      <c r="Q2" s="0" t="n">
        <v>10</v>
      </c>
    </row>
    <row r="3" customFormat="false" ht="15" hidden="false" customHeight="false" outlineLevel="0" collapsed="false">
      <c r="A3" s="0" t="n">
        <v>500</v>
      </c>
      <c r="B3" s="0" t="n">
        <v>500</v>
      </c>
      <c r="C3" s="0" t="n">
        <v>4</v>
      </c>
      <c r="D3" s="0" t="n">
        <v>5</v>
      </c>
      <c r="E3" s="0" t="n">
        <v>5</v>
      </c>
      <c r="F3" s="0" t="n">
        <v>1</v>
      </c>
      <c r="G3" s="0" t="n">
        <v>5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0.000143600202644922</v>
      </c>
      <c r="L3" s="0" t="n">
        <v>8.46297529452796E-005</v>
      </c>
      <c r="M3" s="0" t="n">
        <v>0.143088419059686</v>
      </c>
      <c r="N3" s="0" t="n">
        <v>0.00612041726708412</v>
      </c>
      <c r="O3" s="0" t="n">
        <v>0.0683575024928224</v>
      </c>
      <c r="P3" s="0" t="s">
        <v>19</v>
      </c>
      <c r="Q3" s="0" t="n">
        <v>5</v>
      </c>
    </row>
    <row r="4" customFormat="false" ht="15" hidden="false" customHeight="false" outlineLevel="0" collapsed="false">
      <c r="A4" s="0" t="n">
        <v>500</v>
      </c>
      <c r="B4" s="0" t="n">
        <v>500</v>
      </c>
      <c r="C4" s="0" t="n">
        <v>4</v>
      </c>
      <c r="D4" s="0" t="n">
        <v>5</v>
      </c>
      <c r="E4" s="0" t="n">
        <v>5</v>
      </c>
      <c r="F4" s="0" t="n">
        <v>1</v>
      </c>
      <c r="G4" s="0" t="n">
        <v>1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0.000150320993200781</v>
      </c>
      <c r="L4" s="0" t="n">
        <v>8.40230608877139E-005</v>
      </c>
      <c r="M4" s="0" t="n">
        <v>0.141538959318712</v>
      </c>
      <c r="N4" s="0" t="n">
        <v>0.00204041280085221</v>
      </c>
      <c r="O4" s="0" t="n">
        <v>0.022789009167353</v>
      </c>
      <c r="P4" s="0" t="s">
        <v>19</v>
      </c>
      <c r="Q4" s="0" t="n">
        <v>1</v>
      </c>
    </row>
    <row r="5" customFormat="false" ht="15" hidden="false" customHeight="false" outlineLevel="0" collapsed="false">
      <c r="A5" s="0" t="n">
        <v>500</v>
      </c>
      <c r="B5" s="0" t="n">
        <v>500</v>
      </c>
      <c r="C5" s="0" t="n">
        <v>4</v>
      </c>
      <c r="D5" s="0" t="n">
        <v>5</v>
      </c>
      <c r="E5" s="0" t="n">
        <v>5</v>
      </c>
      <c r="F5" s="0" t="n">
        <v>1</v>
      </c>
      <c r="G5" s="0" t="n">
        <v>0.5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0.000148995320998546</v>
      </c>
      <c r="L5" s="0" t="n">
        <v>8.41262728081549E-005</v>
      </c>
      <c r="M5" s="0" t="n">
        <v>0.14184861337465</v>
      </c>
      <c r="N5" s="0" t="n">
        <v>0.00153041275916621</v>
      </c>
      <c r="O5" s="0" t="n">
        <v>0.017092949910785</v>
      </c>
      <c r="P5" s="0" t="s">
        <v>19</v>
      </c>
      <c r="Q5" s="0" t="n">
        <v>0.5</v>
      </c>
    </row>
    <row r="6" customFormat="false" ht="15" hidden="false" customHeight="false" outlineLevel="0" collapsed="false">
      <c r="A6" s="0" t="n">
        <v>500</v>
      </c>
      <c r="B6" s="0" t="n">
        <v>500</v>
      </c>
      <c r="C6" s="0" t="n">
        <v>4</v>
      </c>
      <c r="D6" s="0" t="n">
        <v>5</v>
      </c>
      <c r="E6" s="0" t="n">
        <v>5</v>
      </c>
      <c r="F6" s="0" t="n">
        <v>1</v>
      </c>
      <c r="G6" s="0" t="n">
        <v>0.1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0.000138287806848769</v>
      </c>
      <c r="L6" s="0" t="n">
        <v>8.54604529690683E-005</v>
      </c>
      <c r="M6" s="0" t="n">
        <v>0.144670600157429</v>
      </c>
      <c r="N6" s="0" t="n">
        <v>0.00112241233000532</v>
      </c>
      <c r="O6" s="0" t="n">
        <v>0.0125360999593139</v>
      </c>
      <c r="P6" s="0" t="s">
        <v>19</v>
      </c>
      <c r="Q6" s="0" t="n">
        <v>0.1</v>
      </c>
    </row>
    <row r="7" customFormat="false" ht="15" hidden="false" customHeight="false" outlineLevel="0" collapsed="false">
      <c r="A7" s="0" t="n">
        <v>500</v>
      </c>
      <c r="B7" s="0" t="n">
        <v>500</v>
      </c>
      <c r="C7" s="0" t="n">
        <v>4</v>
      </c>
      <c r="D7" s="0" t="n">
        <v>5</v>
      </c>
      <c r="E7" s="0" t="n">
        <v>5</v>
      </c>
      <c r="F7" s="0" t="n">
        <v>1</v>
      </c>
      <c r="G7" s="0" t="n">
        <v>0.05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0.0001336829029015</v>
      </c>
      <c r="L7" s="0" t="n">
        <v>8.65770040412416E-005</v>
      </c>
      <c r="M7" s="0" t="n">
        <v>0.146407493367076</v>
      </c>
      <c r="N7" s="0" t="n">
        <v>0.00107141229091212</v>
      </c>
      <c r="O7" s="0" t="n">
        <v>0.0119664952192798</v>
      </c>
      <c r="P7" s="0" t="s">
        <v>19</v>
      </c>
      <c r="Q7" s="0" t="n">
        <v>0.05</v>
      </c>
    </row>
    <row r="8" customFormat="false" ht="15" hidden="false" customHeight="false" outlineLevel="0" collapsed="false">
      <c r="A8" s="0" t="n">
        <v>500</v>
      </c>
      <c r="B8" s="0" t="n">
        <v>500</v>
      </c>
      <c r="C8" s="0" t="n">
        <v>4</v>
      </c>
      <c r="D8" s="0" t="n">
        <v>5</v>
      </c>
      <c r="E8" s="0" t="n">
        <v>5</v>
      </c>
      <c r="F8" s="0" t="n">
        <v>1</v>
      </c>
      <c r="G8" s="0" t="n">
        <v>0.01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0.000128828594947228</v>
      </c>
      <c r="L8" s="0" t="n">
        <v>8.93035664506839E-005</v>
      </c>
      <c r="M8" s="0" t="n">
        <v>0.149962033052097</v>
      </c>
      <c r="N8" s="0" t="n">
        <v>0.00103061235859059</v>
      </c>
      <c r="O8" s="0" t="n">
        <v>0.0115108087806695</v>
      </c>
      <c r="P8" s="0" t="s">
        <v>19</v>
      </c>
      <c r="Q8" s="0" t="n">
        <v>0.01</v>
      </c>
    </row>
    <row r="9" customFormat="false" ht="15" hidden="false" customHeight="false" outlineLevel="0" collapsed="false">
      <c r="A9" s="0" t="n">
        <v>500</v>
      </c>
      <c r="B9" s="0" t="n">
        <v>500</v>
      </c>
      <c r="C9" s="0" t="n">
        <v>4</v>
      </c>
      <c r="D9" s="0" t="n">
        <v>5</v>
      </c>
      <c r="E9" s="0" t="n">
        <v>5</v>
      </c>
      <c r="F9" s="0" t="n">
        <v>1</v>
      </c>
      <c r="G9" s="0" t="n">
        <v>0.005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0.000128191201994587</v>
      </c>
      <c r="L9" s="0" t="n">
        <v>9.02233806444494E-005</v>
      </c>
      <c r="M9" s="0" t="n">
        <v>0.151055431229229</v>
      </c>
      <c r="N9" s="0" t="n">
        <v>0.0010255123488605</v>
      </c>
      <c r="O9" s="0" t="n">
        <v>0.0114538491600668</v>
      </c>
      <c r="P9" s="0" t="s">
        <v>19</v>
      </c>
      <c r="Q9" s="0" t="n">
        <v>0.005</v>
      </c>
    </row>
    <row r="10" customFormat="false" ht="15" hidden="false" customHeight="false" outlineLevel="0" collapsed="false">
      <c r="A10" s="0" t="n">
        <v>500</v>
      </c>
      <c r="B10" s="0" t="n">
        <v>500</v>
      </c>
      <c r="C10" s="0" t="n">
        <v>4</v>
      </c>
      <c r="D10" s="0" t="n">
        <v>5</v>
      </c>
      <c r="E10" s="0" t="n">
        <v>5</v>
      </c>
      <c r="F10" s="0" t="n">
        <v>1</v>
      </c>
      <c r="G10" s="0" t="n">
        <v>0.001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0.000127681145053238</v>
      </c>
      <c r="L10" s="0" t="n">
        <v>9.16423377527654E-005</v>
      </c>
      <c r="M10" s="0" t="n">
        <v>0.152678824611806</v>
      </c>
      <c r="N10" s="0" t="n">
        <v>0.0010214323119726</v>
      </c>
      <c r="O10" s="0" t="n">
        <v>0.0114082801876759</v>
      </c>
      <c r="P10" s="0" t="s">
        <v>19</v>
      </c>
      <c r="Q10" s="0" t="n">
        <v>0.001</v>
      </c>
    </row>
    <row r="11" customFormat="false" ht="15" hidden="false" customHeight="false" outlineLevel="0" collapsed="false">
      <c r="A11" s="0" t="n">
        <v>500</v>
      </c>
      <c r="B11" s="0" t="n">
        <v>500</v>
      </c>
      <c r="C11" s="0" t="n">
        <v>4</v>
      </c>
      <c r="D11" s="0" t="n">
        <v>5</v>
      </c>
      <c r="E11" s="0" t="n">
        <v>5</v>
      </c>
      <c r="F11" s="0" t="n">
        <v>1</v>
      </c>
      <c r="G11" s="0" t="n">
        <v>0.0005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0.000127617384990897</v>
      </c>
      <c r="L11" s="0" t="n">
        <v>9.2011960090681E-005</v>
      </c>
      <c r="M11" s="0" t="n">
        <v>0.15308966859418</v>
      </c>
      <c r="N11" s="0" t="n">
        <v>0.001020922412863</v>
      </c>
      <c r="O11" s="0" t="n">
        <v>0.0114025841944112</v>
      </c>
      <c r="P11" s="0" t="s">
        <v>19</v>
      </c>
      <c r="Q11" s="0" t="n">
        <v>0.0005</v>
      </c>
    </row>
    <row r="12" customFormat="false" ht="15" hidden="false" customHeight="false" outlineLevel="0" collapsed="false">
      <c r="A12" s="0" t="n">
        <v>500</v>
      </c>
      <c r="B12" s="0" t="n">
        <v>500</v>
      </c>
      <c r="C12" s="0" t="n">
        <v>4</v>
      </c>
      <c r="D12" s="0" t="n">
        <v>5</v>
      </c>
      <c r="E12" s="0" t="n">
        <v>5</v>
      </c>
      <c r="F12" s="0" t="n">
        <v>1</v>
      </c>
      <c r="G12" s="0" t="n">
        <v>0.0001</v>
      </c>
      <c r="H12" s="0" t="n">
        <v>12</v>
      </c>
      <c r="I12" s="1" t="b">
        <f aca="false">FALSE()</f>
        <v>0</v>
      </c>
      <c r="J12" s="1" t="b">
        <f aca="false">TRUE()</f>
        <v>1</v>
      </c>
      <c r="K12" s="0" t="n">
        <v>0.000127566375460297</v>
      </c>
      <c r="L12" s="0" t="n">
        <v>9.25234998859809E-005</v>
      </c>
      <c r="M12" s="0" t="n">
        <v>0.153645446538119</v>
      </c>
      <c r="N12" s="0" t="n">
        <v>0.00102051443536766</v>
      </c>
      <c r="O12" s="0" t="n">
        <v>0.0113980269405817</v>
      </c>
      <c r="P12" s="0" t="s">
        <v>19</v>
      </c>
      <c r="Q12" s="0" t="n">
        <v>0.0001</v>
      </c>
    </row>
    <row r="13" customFormat="false" ht="15" hidden="false" customHeight="false" outlineLevel="0" collapsed="false">
      <c r="A13" s="0" t="n">
        <v>500</v>
      </c>
      <c r="B13" s="0" t="n">
        <v>500</v>
      </c>
      <c r="C13" s="0" t="n">
        <v>4</v>
      </c>
      <c r="D13" s="0" t="n">
        <v>5</v>
      </c>
      <c r="E13" s="0" t="n">
        <v>5</v>
      </c>
      <c r="F13" s="0" t="n">
        <v>1</v>
      </c>
      <c r="G13" s="0" t="n">
        <v>5E-005</v>
      </c>
      <c r="H13" s="0" t="n">
        <v>12</v>
      </c>
      <c r="I13" s="1" t="b">
        <f aca="false">FALSE()</f>
        <v>0</v>
      </c>
      <c r="J13" s="1" t="b">
        <f aca="false">TRUE()</f>
        <v>1</v>
      </c>
      <c r="K13" s="0" t="n">
        <v>0.000127559999391735</v>
      </c>
      <c r="L13" s="0" t="n">
        <v>9.26460484432552E-005</v>
      </c>
      <c r="M13" s="0" t="n">
        <v>0.153774448323784</v>
      </c>
      <c r="N13" s="0" t="n">
        <v>0.00102046335814521</v>
      </c>
      <c r="O13" s="0" t="n">
        <v>0.0113974572636038</v>
      </c>
      <c r="P13" s="0" t="s">
        <v>19</v>
      </c>
      <c r="Q13" s="0" t="n">
        <v>5E-005</v>
      </c>
    </row>
    <row r="14" customFormat="false" ht="15" hidden="false" customHeight="false" outlineLevel="0" collapsed="false">
      <c r="A14" s="0" t="n">
        <v>500</v>
      </c>
      <c r="B14" s="0" t="n">
        <v>500</v>
      </c>
      <c r="C14" s="0" t="n">
        <v>4</v>
      </c>
      <c r="D14" s="0" t="n">
        <v>5</v>
      </c>
      <c r="E14" s="0" t="n">
        <v>5</v>
      </c>
      <c r="F14" s="0" t="n">
        <v>1</v>
      </c>
      <c r="G14" s="0" t="n">
        <v>1E-005</v>
      </c>
      <c r="H14" s="0" t="n">
        <v>12</v>
      </c>
      <c r="I14" s="1" t="b">
        <f aca="false">FALSE()</f>
        <v>0</v>
      </c>
      <c r="J14" s="1" t="b">
        <f aca="false">TRUE()</f>
        <v>1</v>
      </c>
      <c r="K14" s="0" t="n">
        <v>0.000127554906683036</v>
      </c>
      <c r="L14" s="0" t="n">
        <v>9.28021097700939E-005</v>
      </c>
      <c r="M14" s="0" t="n">
        <v>0.153934597511947</v>
      </c>
      <c r="N14" s="0" t="n">
        <v>0.00102042258367874</v>
      </c>
      <c r="O14" s="0" t="n">
        <v>0.0113970018616409</v>
      </c>
      <c r="P14" s="0" t="s">
        <v>19</v>
      </c>
      <c r="Q14" s="0" t="n">
        <v>1E-005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500</v>
      </c>
      <c r="B2" s="0" t="n">
        <v>500</v>
      </c>
      <c r="C2" s="0" t="n">
        <v>4</v>
      </c>
      <c r="D2" s="0" t="n">
        <v>5</v>
      </c>
      <c r="E2" s="0" t="n">
        <v>5</v>
      </c>
      <c r="F2" s="0" t="n">
        <v>1</v>
      </c>
      <c r="G2" s="0" t="n">
        <v>0.001</v>
      </c>
      <c r="H2" s="0" t="n">
        <v>0</v>
      </c>
      <c r="I2" s="1" t="b">
        <f aca="false">FALSE()</f>
        <v>0</v>
      </c>
      <c r="J2" s="1" t="b">
        <f aca="false">TRUE()</f>
        <v>1</v>
      </c>
      <c r="K2" s="0" t="n">
        <v>0.000127628060972551</v>
      </c>
      <c r="L2" s="0" t="n">
        <v>9.16041387427507E-005</v>
      </c>
      <c r="M2" s="0" t="n">
        <v>0.152589831910426</v>
      </c>
      <c r="N2" s="0" t="n">
        <v>0.00102102744858712</v>
      </c>
      <c r="O2" s="0" t="n">
        <v>0.0114035192831182</v>
      </c>
      <c r="P2" s="0" t="s">
        <v>20</v>
      </c>
      <c r="Q2" s="0" t="n">
        <v>0</v>
      </c>
    </row>
    <row r="3" customFormat="false" ht="15" hidden="false" customHeight="false" outlineLevel="0" collapsed="false">
      <c r="A3" s="0" t="n">
        <v>500</v>
      </c>
      <c r="B3" s="0" t="n">
        <v>500</v>
      </c>
      <c r="C3" s="0" t="n">
        <v>4</v>
      </c>
      <c r="D3" s="0" t="n">
        <v>5</v>
      </c>
      <c r="E3" s="0" t="n">
        <v>5</v>
      </c>
      <c r="F3" s="0" t="n">
        <v>1</v>
      </c>
      <c r="G3" s="0" t="n">
        <v>0.001</v>
      </c>
      <c r="H3" s="0" t="n">
        <v>4</v>
      </c>
      <c r="I3" s="1" t="b">
        <f aca="false">FALSE()</f>
        <v>0</v>
      </c>
      <c r="J3" s="1" t="b">
        <f aca="false">TRUE()</f>
        <v>1</v>
      </c>
      <c r="K3" s="0" t="n">
        <v>0.000147035583495825</v>
      </c>
      <c r="L3" s="0" t="n">
        <v>8.42741094361507E-005</v>
      </c>
      <c r="M3" s="0" t="n">
        <v>0.142257384321358</v>
      </c>
      <c r="N3" s="0" t="n">
        <v>0.00102113203320187</v>
      </c>
      <c r="O3" s="0" t="n">
        <v>0.0114047356731209</v>
      </c>
      <c r="P3" s="0" t="s">
        <v>20</v>
      </c>
      <c r="Q3" s="0" t="n">
        <v>4</v>
      </c>
    </row>
    <row r="4" customFormat="false" ht="15" hidden="false" customHeight="false" outlineLevel="0" collapsed="false">
      <c r="A4" s="0" t="n">
        <v>500</v>
      </c>
      <c r="B4" s="0" t="n">
        <v>500</v>
      </c>
      <c r="C4" s="0" t="n">
        <v>4</v>
      </c>
      <c r="D4" s="0" t="n">
        <v>5</v>
      </c>
      <c r="E4" s="0" t="n">
        <v>5</v>
      </c>
      <c r="F4" s="0" t="n">
        <v>1</v>
      </c>
      <c r="G4" s="0" t="n">
        <v>0.001</v>
      </c>
      <c r="H4" s="0" t="n">
        <v>6</v>
      </c>
      <c r="I4" s="1" t="b">
        <f aca="false">FALSE()</f>
        <v>0</v>
      </c>
      <c r="J4" s="1" t="b">
        <f aca="false">TRUE()</f>
        <v>1</v>
      </c>
      <c r="K4" s="0" t="n">
        <v>0.000150321390727459</v>
      </c>
      <c r="L4" s="0" t="n">
        <v>8.40232836959438E-005</v>
      </c>
      <c r="M4" s="0" t="n">
        <v>0.141539409896823</v>
      </c>
      <c r="N4" s="0" t="n">
        <v>0.00102123101532925</v>
      </c>
      <c r="O4" s="0" t="n">
        <v>0.0114059294514389</v>
      </c>
      <c r="P4" s="0" t="s">
        <v>20</v>
      </c>
      <c r="Q4" s="0" t="n">
        <v>6</v>
      </c>
    </row>
    <row r="5" customFormat="false" ht="15" hidden="false" customHeight="false" outlineLevel="0" collapsed="false">
      <c r="A5" s="0" t="n">
        <v>500</v>
      </c>
      <c r="B5" s="0" t="n">
        <v>500</v>
      </c>
      <c r="C5" s="0" t="n">
        <v>4</v>
      </c>
      <c r="D5" s="0" t="n">
        <v>5</v>
      </c>
      <c r="E5" s="0" t="n">
        <v>5</v>
      </c>
      <c r="F5" s="0" t="n">
        <v>1</v>
      </c>
      <c r="G5" s="0" t="n">
        <v>0.001</v>
      </c>
      <c r="H5" s="0" t="n">
        <v>8</v>
      </c>
      <c r="I5" s="1" t="b">
        <f aca="false">FALSE()</f>
        <v>0</v>
      </c>
      <c r="J5" s="1" t="b">
        <f aca="false">TRUE()</f>
        <v>1</v>
      </c>
      <c r="K5" s="0" t="n">
        <v>0.000147066245561378</v>
      </c>
      <c r="L5" s="0" t="n">
        <v>8.42916802858492E-005</v>
      </c>
      <c r="M5" s="0" t="n">
        <v>0.142298839272288</v>
      </c>
      <c r="N5" s="0" t="n">
        <v>0.00102133190375753</v>
      </c>
      <c r="O5" s="0" t="n">
        <v>0.0114071157452802</v>
      </c>
      <c r="P5" s="0" t="s">
        <v>20</v>
      </c>
      <c r="Q5" s="0" t="n">
        <v>8</v>
      </c>
    </row>
    <row r="6" customFormat="false" ht="15" hidden="false" customHeight="false" outlineLevel="0" collapsed="false">
      <c r="A6" s="0" t="n">
        <v>500</v>
      </c>
      <c r="B6" s="0" t="n">
        <v>500</v>
      </c>
      <c r="C6" s="0" t="n">
        <v>4</v>
      </c>
      <c r="D6" s="0" t="n">
        <v>5</v>
      </c>
      <c r="E6" s="0" t="n">
        <v>5</v>
      </c>
      <c r="F6" s="0" t="n">
        <v>1</v>
      </c>
      <c r="G6" s="0" t="n">
        <v>0.001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0.000127681145053238</v>
      </c>
      <c r="L6" s="0" t="n">
        <v>9.16423377527654E-005</v>
      </c>
      <c r="M6" s="0" t="n">
        <v>0.152678824611806</v>
      </c>
      <c r="N6" s="0" t="n">
        <v>0.0010214323119726</v>
      </c>
      <c r="O6" s="0" t="n">
        <v>0.0114082801876759</v>
      </c>
      <c r="P6" s="0" t="s">
        <v>20</v>
      </c>
      <c r="Q6" s="0" t="n">
        <v>12</v>
      </c>
    </row>
    <row r="7" customFormat="false" ht="15" hidden="false" customHeight="false" outlineLevel="0" collapsed="false">
      <c r="A7" s="0" t="n">
        <v>500</v>
      </c>
      <c r="B7" s="0" t="n">
        <v>500</v>
      </c>
      <c r="C7" s="0" t="n">
        <v>4</v>
      </c>
      <c r="D7" s="0" t="n">
        <v>5</v>
      </c>
      <c r="E7" s="0" t="n">
        <v>5</v>
      </c>
      <c r="F7" s="0" t="n">
        <v>1</v>
      </c>
      <c r="G7" s="0" t="n">
        <v>0.001</v>
      </c>
      <c r="H7" s="0" t="n">
        <v>16</v>
      </c>
      <c r="I7" s="1" t="b">
        <f aca="false">FALSE()</f>
        <v>0</v>
      </c>
      <c r="J7" s="1" t="b">
        <f aca="false">TRUE()</f>
        <v>1</v>
      </c>
      <c r="K7" s="0" t="n">
        <v>0.000147065575850203</v>
      </c>
      <c r="L7" s="0" t="n">
        <v>8.42912960431881E-005</v>
      </c>
      <c r="M7" s="0" t="n">
        <v>0.142298094323164</v>
      </c>
      <c r="N7" s="0" t="n">
        <v>0.00102132721804082</v>
      </c>
      <c r="O7" s="0" t="n">
        <v>0.0114070636337564</v>
      </c>
      <c r="P7" s="0" t="s">
        <v>20</v>
      </c>
      <c r="Q7" s="0" t="n">
        <v>16</v>
      </c>
    </row>
    <row r="8" customFormat="false" ht="15" hidden="false" customHeight="false" outlineLevel="0" collapsed="false">
      <c r="A8" s="0" t="n">
        <v>500</v>
      </c>
      <c r="B8" s="0" t="n">
        <v>500</v>
      </c>
      <c r="C8" s="0" t="n">
        <v>4</v>
      </c>
      <c r="D8" s="0" t="n">
        <v>5</v>
      </c>
      <c r="E8" s="0" t="n">
        <v>5</v>
      </c>
      <c r="F8" s="0" t="n">
        <v>1</v>
      </c>
      <c r="G8" s="0" t="n">
        <v>0.001</v>
      </c>
      <c r="H8" s="0" t="n">
        <v>18</v>
      </c>
      <c r="I8" s="1" t="b">
        <f aca="false">FALSE()</f>
        <v>0</v>
      </c>
      <c r="J8" s="1" t="b">
        <f aca="false">TRUE()</f>
        <v>1</v>
      </c>
      <c r="K8" s="0" t="n">
        <v>0.00015032060255038</v>
      </c>
      <c r="L8" s="0" t="n">
        <v>8.40228418978372E-005</v>
      </c>
      <c r="M8" s="0" t="n">
        <v>0.141538516370314</v>
      </c>
      <c r="N8" s="0" t="n">
        <v>0.00102122570388019</v>
      </c>
      <c r="O8" s="0" t="n">
        <v>0.0114058692487473</v>
      </c>
      <c r="P8" s="0" t="s">
        <v>20</v>
      </c>
      <c r="Q8" s="0" t="n">
        <v>18</v>
      </c>
    </row>
    <row r="9" customFormat="false" ht="15" hidden="false" customHeight="false" outlineLevel="0" collapsed="false">
      <c r="A9" s="0" t="n">
        <v>500</v>
      </c>
      <c r="B9" s="0" t="n">
        <v>500</v>
      </c>
      <c r="C9" s="0" t="n">
        <v>4</v>
      </c>
      <c r="D9" s="0" t="n">
        <v>5</v>
      </c>
      <c r="E9" s="0" t="n">
        <v>5</v>
      </c>
      <c r="F9" s="0" t="n">
        <v>1</v>
      </c>
      <c r="G9" s="0" t="n">
        <v>0.001</v>
      </c>
      <c r="H9" s="0" t="n">
        <v>20</v>
      </c>
      <c r="I9" s="1" t="b">
        <f aca="false">FALSE()</f>
        <v>0</v>
      </c>
      <c r="J9" s="1" t="b">
        <f aca="false">TRUE()</f>
        <v>1</v>
      </c>
      <c r="K9" s="0" t="n">
        <v>0.000147034918815958</v>
      </c>
      <c r="L9" s="0" t="n">
        <v>8.42737263731034E-005</v>
      </c>
      <c r="M9" s="0" t="n">
        <v>0.142256591801456</v>
      </c>
      <c r="N9" s="0" t="n">
        <v>0.0010211274784524</v>
      </c>
      <c r="O9" s="0" t="n">
        <v>0.0114046836606752</v>
      </c>
      <c r="P9" s="0" t="s">
        <v>20</v>
      </c>
      <c r="Q9" s="0" t="n">
        <v>20</v>
      </c>
    </row>
    <row r="10" customFormat="false" ht="15" hidden="false" customHeight="false" outlineLevel="0" collapsed="false">
      <c r="A10" s="0" t="n">
        <v>500</v>
      </c>
      <c r="B10" s="0" t="n">
        <v>500</v>
      </c>
      <c r="C10" s="0" t="n">
        <v>4</v>
      </c>
      <c r="D10" s="0" t="n">
        <v>5</v>
      </c>
      <c r="E10" s="0" t="n">
        <v>5</v>
      </c>
      <c r="F10" s="0" t="n">
        <v>1</v>
      </c>
      <c r="G10" s="0" t="n">
        <v>0.001</v>
      </c>
      <c r="H10" s="0" t="n">
        <v>24</v>
      </c>
      <c r="I10" s="1" t="b">
        <f aca="false">FALSE()</f>
        <v>0</v>
      </c>
      <c r="J10" s="1" t="b">
        <f aca="false">TRUE()</f>
        <v>1</v>
      </c>
      <c r="K10" s="0" t="n">
        <v>0.000127628060972551</v>
      </c>
      <c r="L10" s="0" t="n">
        <v>9.16041387427507E-005</v>
      </c>
      <c r="M10" s="0" t="n">
        <v>0.152589831910426</v>
      </c>
      <c r="N10" s="0" t="n">
        <v>0.00102102744858712</v>
      </c>
      <c r="O10" s="0" t="n">
        <v>0.0114035192831182</v>
      </c>
      <c r="P10" s="0" t="s">
        <v>20</v>
      </c>
      <c r="Q10" s="0" t="n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2026-07-16T01:10:14Z</dcterms:created>
  <dc:creator>openpyxl</dc:creator>
  <dc:description/>
  <dc:language>en-US</dc:language>
  <cp:lastModifiedBy/>
  <dcterms:modified xsi:type="dcterms:W3CDTF">2026-07-20T15:07:43Z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