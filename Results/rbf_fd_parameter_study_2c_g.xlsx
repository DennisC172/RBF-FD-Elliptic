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Users\zeonv\Downloads\"/>
    </mc:Choice>
  </mc:AlternateContent>
  <xr:revisionPtr revIDLastSave="0" documentId="13_ncr:1_{2B5889A8-14BE-4BCC-9FC9-97B69E026C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id Size" sheetId="1" r:id="rId1"/>
    <sheet name="Length Scale" sheetId="2" r:id="rId2"/>
    <sheet name="Stencil Nodes" sheetId="3" r:id="rId3"/>
    <sheet name="Center" sheetId="4" r:id="rId4"/>
    <sheet name="Eigenvalue Ratio" sheetId="5" r:id="rId5"/>
    <sheet name="Eigenvector Ang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6" l="1"/>
  <c r="J10" i="6"/>
  <c r="D10" i="6"/>
  <c r="K9" i="6"/>
  <c r="J9" i="6"/>
  <c r="D9" i="6"/>
  <c r="K8" i="6"/>
  <c r="J8" i="6"/>
  <c r="D8" i="6"/>
  <c r="K7" i="6"/>
  <c r="J7" i="6"/>
  <c r="D7" i="6"/>
  <c r="K6" i="6"/>
  <c r="J6" i="6"/>
  <c r="D6" i="6"/>
  <c r="K5" i="6"/>
  <c r="J5" i="6"/>
  <c r="D5" i="6"/>
  <c r="K4" i="6"/>
  <c r="J4" i="6"/>
  <c r="D4" i="6"/>
  <c r="K3" i="6"/>
  <c r="J3" i="6"/>
  <c r="D3" i="6"/>
  <c r="K2" i="6"/>
  <c r="J2" i="6"/>
  <c r="D2" i="6"/>
  <c r="K14" i="5"/>
  <c r="J14" i="5"/>
  <c r="D14" i="5"/>
  <c r="K13" i="5"/>
  <c r="J13" i="5"/>
  <c r="D13" i="5"/>
  <c r="K12" i="5"/>
  <c r="J12" i="5"/>
  <c r="D12" i="5"/>
  <c r="K11" i="5"/>
  <c r="J11" i="5"/>
  <c r="D11" i="5"/>
  <c r="K10" i="5"/>
  <c r="J10" i="5"/>
  <c r="D10" i="5"/>
  <c r="K9" i="5"/>
  <c r="J9" i="5"/>
  <c r="D9" i="5"/>
  <c r="K8" i="5"/>
  <c r="J8" i="5"/>
  <c r="D8" i="5"/>
  <c r="K7" i="5"/>
  <c r="J7" i="5"/>
  <c r="D7" i="5"/>
  <c r="K6" i="5"/>
  <c r="J6" i="5"/>
  <c r="D6" i="5"/>
  <c r="K5" i="5"/>
  <c r="J5" i="5"/>
  <c r="D5" i="5"/>
  <c r="K4" i="5"/>
  <c r="J4" i="5"/>
  <c r="D4" i="5"/>
  <c r="K3" i="5"/>
  <c r="J3" i="5"/>
  <c r="D3" i="5"/>
  <c r="K2" i="5"/>
  <c r="J2" i="5"/>
  <c r="D2" i="5"/>
  <c r="K9" i="4"/>
  <c r="J9" i="4"/>
  <c r="D9" i="4"/>
  <c r="K8" i="4"/>
  <c r="J8" i="4"/>
  <c r="D8" i="4"/>
  <c r="K7" i="4"/>
  <c r="J7" i="4"/>
  <c r="D7" i="4"/>
  <c r="K6" i="4"/>
  <c r="J6" i="4"/>
  <c r="D6" i="4"/>
  <c r="K5" i="4"/>
  <c r="J5" i="4"/>
  <c r="D5" i="4"/>
  <c r="K4" i="4"/>
  <c r="J4" i="4"/>
  <c r="D4" i="4"/>
  <c r="K3" i="4"/>
  <c r="J3" i="4"/>
  <c r="D3" i="4"/>
  <c r="K2" i="4"/>
  <c r="J2" i="4"/>
  <c r="D2" i="4"/>
  <c r="K7" i="3"/>
  <c r="J7" i="3"/>
  <c r="D7" i="3"/>
  <c r="K6" i="3"/>
  <c r="J6" i="3"/>
  <c r="D6" i="3"/>
  <c r="K5" i="3"/>
  <c r="J5" i="3"/>
  <c r="D5" i="3"/>
  <c r="K4" i="3"/>
  <c r="J4" i="3"/>
  <c r="D4" i="3"/>
  <c r="K3" i="3"/>
  <c r="J3" i="3"/>
  <c r="D3" i="3"/>
  <c r="K2" i="3"/>
  <c r="J2" i="3"/>
  <c r="D2" i="3"/>
  <c r="K10" i="2"/>
  <c r="J10" i="2"/>
  <c r="D10" i="2"/>
  <c r="K9" i="2"/>
  <c r="J9" i="2"/>
  <c r="D9" i="2"/>
  <c r="K8" i="2"/>
  <c r="J8" i="2"/>
  <c r="D8" i="2"/>
  <c r="K7" i="2"/>
  <c r="J7" i="2"/>
  <c r="D7" i="2"/>
  <c r="K6" i="2"/>
  <c r="J6" i="2"/>
  <c r="D6" i="2"/>
  <c r="K5" i="2"/>
  <c r="J5" i="2"/>
  <c r="D5" i="2"/>
  <c r="K4" i="2"/>
  <c r="J4" i="2"/>
  <c r="D4" i="2"/>
  <c r="K3" i="2"/>
  <c r="J3" i="2"/>
  <c r="D3" i="2"/>
  <c r="K2" i="2"/>
  <c r="J2" i="2"/>
  <c r="D2" i="2"/>
  <c r="K14" i="1"/>
  <c r="J14" i="1"/>
  <c r="D14" i="1"/>
  <c r="K13" i="1"/>
  <c r="J13" i="1"/>
  <c r="D13" i="1"/>
  <c r="K12" i="1"/>
  <c r="J12" i="1"/>
  <c r="D12" i="1"/>
  <c r="K11" i="1"/>
  <c r="J11" i="1"/>
  <c r="D11" i="1"/>
  <c r="K10" i="1"/>
  <c r="J10" i="1"/>
  <c r="D10" i="1"/>
  <c r="K9" i="1"/>
  <c r="J9" i="1"/>
  <c r="D9" i="1"/>
  <c r="K8" i="1"/>
  <c r="J8" i="1"/>
  <c r="D8" i="1"/>
  <c r="K7" i="1"/>
  <c r="J7" i="1"/>
  <c r="D7" i="1"/>
  <c r="K6" i="1"/>
  <c r="J6" i="1"/>
  <c r="D6" i="1"/>
  <c r="K5" i="1"/>
  <c r="J5" i="1"/>
  <c r="D5" i="1"/>
  <c r="K4" i="1"/>
  <c r="J4" i="1"/>
  <c r="D4" i="1"/>
  <c r="K3" i="1"/>
  <c r="J3" i="1"/>
  <c r="D3" i="1"/>
  <c r="K2" i="1"/>
  <c r="J2" i="1"/>
  <c r="D2" i="1"/>
</calcChain>
</file>

<file path=xl/sharedStrings.xml><?xml version="1.0" encoding="utf-8"?>
<sst xmlns="http://schemas.openxmlformats.org/spreadsheetml/2006/main" count="356" uniqueCount="45">
  <si>
    <t>Nx</t>
  </si>
  <si>
    <t>Ny</t>
  </si>
  <si>
    <t>eps</t>
  </si>
  <si>
    <t>fixed_eps</t>
  </si>
  <si>
    <t>num_stencil_nodes</t>
  </si>
  <si>
    <t>num_centers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</si>
  <si>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</si>
  <si>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</si>
  <si>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</si>
  <si>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</si>
  <si>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</si>
  <si>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</si>
  <si>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</si>
  <si>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Lu_exact - F max_residual_rel</t>
  </si>
  <si>
    <t>Lu_exact - F l2_residual_rel</t>
  </si>
  <si>
    <t>varied_param</t>
  </si>
  <si>
    <t>varied_value</t>
  </si>
  <si>
    <t>lambda p: 1e0</t>
  </si>
  <si>
    <t>lambda p: 1e-4</t>
  </si>
  <si>
    <t>lambda p: 12.0/24.0*np.pi</t>
  </si>
  <si>
    <t>N_int</t>
  </si>
  <si>
    <t>Inverse Length Scale</t>
  </si>
  <si>
    <t>lambda p: 10.0</t>
  </si>
  <si>
    <t>eig_2</t>
  </si>
  <si>
    <t>lambda p: 5.0</t>
  </si>
  <si>
    <t>lambda p: 1.0</t>
  </si>
  <si>
    <t>lambda p: 0.5</t>
  </si>
  <si>
    <t>lambda p: 0.1</t>
  </si>
  <si>
    <t>lambda p: 0.05</t>
  </si>
  <si>
    <t>lambda p: 0.01</t>
  </si>
  <si>
    <t>lambda p: 0.005</t>
  </si>
  <si>
    <t>lambda p: 0.001</t>
  </si>
  <si>
    <t>lambda p: 0.0005</t>
  </si>
  <si>
    <t>lambda p: 0.0001</t>
  </si>
  <si>
    <t>lambda p: 5e-05</t>
  </si>
  <si>
    <t>lambda p: 1e-05</t>
  </si>
  <si>
    <t>lambda p: 0.0/24.0*np.pi</t>
  </si>
  <si>
    <t>angle</t>
  </si>
  <si>
    <t>lambda p: 4.0/24.0*np.pi</t>
  </si>
  <si>
    <t>lambda p: 6.0/24.0*np.pi</t>
  </si>
  <si>
    <t>lambda p: 8.0/24.0*np.pi</t>
  </si>
  <si>
    <t>lambda p: 16.0/24.0*np.pi</t>
  </si>
  <si>
    <t>lambda p: 18.0/24.0*np.pi</t>
  </si>
  <si>
    <t>lambda p: 20.0/24.0*np.pi</t>
  </si>
  <si>
    <t>lambda p: 24.0/24.0*np.pi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</si>
</sst>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'Grid Size'!$L$1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1.3024155283463501E-3</c:v>
                </c:pt>
                <c:pt idx="1">
                  <c:v>5.9303247439084904E-4</c:v>
                </c:pt>
                <c:pt idx="2">
                  <c:v>2.18951993867146E-4</c:v>
                </c:pt>
                <c:pt idx="3">
                  <c:v>9.8653392069871E-5</c:v>
                </c:pt>
                <c:pt idx="4">
                  <c:v>5.5802407167419801E-5</c:v>
                </c:pt>
                <c:pt idx="5">
                  <c:v>3.5860926744041397E-5</c:v>
                </c:pt>
                <c:pt idx="6">
                  <c:v>2.4961180345769701E-5</c:v>
                </c:pt>
                <c:pt idx="7">
                  <c:v>1.8369172105132601E-5</c:v>
                </c:pt>
                <c:pt idx="8">
                  <c:v>1.4079954921858899E-5</c:v>
                </c:pt>
                <c:pt idx="9">
                  <c:v>9.0740298891722308E-6</c:v>
                </c:pt>
                <c:pt idx="10">
                  <c:v>6.6020430999893296E-6</c:v>
                </c:pt>
                <c:pt idx="11">
                  <c:v>1.7514391870899501E-5</c:v>
                </c:pt>
                <c:pt idx="12">
                  <c:v>6.2241935310122906E-5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5-4005-A341-27151A1FFD49}"/>
            </c:ext>
          </c:extLst>
        </c:ser>
        <c:ser>
          <c:idx val="2"/>
          <c:order val="1"/>
          <c:tx>
            <c:strRef>
              <c:f>'Grid Size'!$M$1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1.3286588321050801E-3</c:v>
                </c:pt>
                <c:pt idx="1">
                  <c:v>6.0831355876920005E-4</c:v>
                </c:pt>
                <c:pt idx="2">
                  <c:v>2.2447906699248101E-4</c:v>
                </c:pt>
                <c:pt idx="3">
                  <c:v>1.01045488901465E-4</c:v>
                </c:pt>
                <c:pt idx="4">
                  <c:v>5.7202680210058701E-5</c:v>
                </c:pt>
                <c:pt idx="5">
                  <c:v>3.6755270101831698E-5</c:v>
                </c:pt>
                <c:pt idx="6">
                  <c:v>2.5584936639123101E-5</c:v>
                </c:pt>
                <c:pt idx="7">
                  <c:v>1.8824509307496199E-5</c:v>
                </c:pt>
                <c:pt idx="8">
                  <c:v>1.4428074260151999E-5</c:v>
                </c:pt>
                <c:pt idx="9">
                  <c:v>9.2449580490946095E-6</c:v>
                </c:pt>
                <c:pt idx="10">
                  <c:v>6.5711384378234397E-6</c:v>
                </c:pt>
                <c:pt idx="11">
                  <c:v>1.77872629849329E-5</c:v>
                </c:pt>
                <c:pt idx="12">
                  <c:v>6.3754888685970705E-5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D5-4005-A341-27151A1FFD49}"/>
            </c:ext>
          </c:extLst>
        </c:ser>
        <c:ser>
          <c:idx val="3"/>
          <c:order val="2"/>
          <c:tx>
            <c:strRef>
              <c:f>'Grid Size'!$N$1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3.5530079773936499E-3</c:v>
                </c:pt>
                <c:pt idx="1">
                  <c:v>1.62888239130064E-3</c:v>
                </c:pt>
                <c:pt idx="2">
                  <c:v>6.0097605481454399E-4</c:v>
                </c:pt>
                <c:pt idx="3">
                  <c:v>2.70412028264549E-4</c:v>
                </c:pt>
                <c:pt idx="4">
                  <c:v>1.5310075961356501E-4</c:v>
                </c:pt>
                <c:pt idx="5">
                  <c:v>9.8369640543913097E-5</c:v>
                </c:pt>
                <c:pt idx="6">
                  <c:v>6.8478924050571402E-5</c:v>
                </c:pt>
                <c:pt idx="7">
                  <c:v>5.03963601220177E-5</c:v>
                </c:pt>
                <c:pt idx="8">
                  <c:v>3.8620575892005903E-5</c:v>
                </c:pt>
                <c:pt idx="9">
                  <c:v>2.4635642896927301E-5</c:v>
                </c:pt>
                <c:pt idx="10">
                  <c:v>1.70061932577169E-5</c:v>
                </c:pt>
                <c:pt idx="11">
                  <c:v>1.28820136660425E-5</c:v>
                </c:pt>
                <c:pt idx="12">
                  <c:v>4.3652838347874501E-5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5-4005-A341-27151A1FFD49}"/>
            </c:ext>
          </c:extLst>
        </c:ser>
        <c:ser>
          <c:idx val="4"/>
          <c:order val="3"/>
          <c:tx>
            <c:strRef>
              <c:f>'Grid Size'!$O$1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3.85120018374398E-3</c:v>
                </c:pt>
                <c:pt idx="1">
                  <c:v>1.76846044977028E-3</c:v>
                </c:pt>
                <c:pt idx="2">
                  <c:v>6.5362695984340097E-4</c:v>
                </c:pt>
                <c:pt idx="3">
                  <c:v>2.9436890655716699E-4</c:v>
                </c:pt>
                <c:pt idx="4">
                  <c:v>1.666748792264E-4</c:v>
                </c:pt>
                <c:pt idx="5">
                  <c:v>1.0710493942324699E-4</c:v>
                </c:pt>
                <c:pt idx="6">
                  <c:v>7.4557864670888097E-5</c:v>
                </c:pt>
                <c:pt idx="7">
                  <c:v>5.4856979194595502E-5</c:v>
                </c:pt>
                <c:pt idx="8">
                  <c:v>4.2042770842038802E-5</c:v>
                </c:pt>
                <c:pt idx="9">
                  <c:v>2.6800031164891899E-5</c:v>
                </c:pt>
                <c:pt idx="10">
                  <c:v>1.8476007970372799E-5</c:v>
                </c:pt>
                <c:pt idx="11">
                  <c:v>1.35104383776569E-5</c:v>
                </c:pt>
                <c:pt idx="12">
                  <c:v>4.7024904847577903E-5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D5-4005-A341-27151A1FF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4709"/>
        <c:axId val="72244668"/>
      </c:scatterChart>
      <c:valAx>
        <c:axId val="612647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44668"/>
        <c:crosses val="autoZero"/>
        <c:crossBetween val="midCat"/>
      </c:valAx>
      <c:valAx>
        <c:axId val="7224466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647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'Length Scale'!$K$1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Scale'!$K$2:$K$10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83-47C2-9BAE-793DD44D0FD2}"/>
            </c:ext>
          </c:extLst>
        </c:ser>
        <c:ser>
          <c:idx val="1"/>
          <c:order val="1"/>
          <c:tx>
            <c:strRef>
              <c:f>'Length Scale'!$L$1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Scale'!$L$2:$L$10</c:f>
              <c:numCache>
                <c:formatCode>General</c:formatCode>
                <c:ptCount val="9"/>
                <c:pt idx="0">
                  <c:v>1685629024.7776</c:v>
                </c:pt>
                <c:pt idx="1">
                  <c:v>136.10326237482101</c:v>
                </c:pt>
                <c:pt idx="2">
                  <c:v>2.8466861901219702</c:v>
                </c:pt>
                <c:pt idx="3">
                  <c:v>2.2796604522715E-3</c:v>
                </c:pt>
                <c:pt idx="4">
                  <c:v>1.4072724336933401E-4</c:v>
                </c:pt>
                <c:pt idx="5">
                  <c:v>9.6238036019941596E-5</c:v>
                </c:pt>
                <c:pt idx="6">
                  <c:v>5.4591727240156102E-5</c:v>
                </c:pt>
                <c:pt idx="7">
                  <c:v>9.2197394030578102E-5</c:v>
                </c:pt>
                <c:pt idx="8">
                  <c:v>1.4468250591069301E-4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83-47C2-9BAE-793DD44D0FD2}"/>
            </c:ext>
          </c:extLst>
        </c:ser>
        <c:ser>
          <c:idx val="2"/>
          <c:order val="2"/>
          <c:tx>
            <c:strRef>
              <c:f>'Length Scale'!$M$1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Scale'!$M$2:$M$10</c:f>
              <c:numCache>
                <c:formatCode>General</c:formatCode>
                <c:ptCount val="9"/>
                <c:pt idx="0">
                  <c:v>165091849.39562401</c:v>
                </c:pt>
                <c:pt idx="1">
                  <c:v>71.126174122819904</c:v>
                </c:pt>
                <c:pt idx="2">
                  <c:v>2.7344700988534698</c:v>
                </c:pt>
                <c:pt idx="3">
                  <c:v>2.3345861179085302E-3</c:v>
                </c:pt>
                <c:pt idx="4">
                  <c:v>1.33541015122463E-4</c:v>
                </c:pt>
                <c:pt idx="5">
                  <c:v>9.1028507009359406E-5</c:v>
                </c:pt>
                <c:pt idx="6">
                  <c:v>5.5536816043401897E-5</c:v>
                </c:pt>
                <c:pt idx="7">
                  <c:v>9.1226857172650605E-5</c:v>
                </c:pt>
                <c:pt idx="8">
                  <c:v>1.4813479972383499E-4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83-47C2-9BAE-793DD44D0FD2}"/>
            </c:ext>
          </c:extLst>
        </c:ser>
        <c:ser>
          <c:idx val="3"/>
          <c:order val="3"/>
          <c:tx>
            <c:strRef>
              <c:f>'Length Scale'!$N$1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Scale'!$N$2:$N$10</c:f>
              <c:numCache>
                <c:formatCode>General</c:formatCode>
                <c:ptCount val="9"/>
                <c:pt idx="0">
                  <c:v>0.99997261773972401</c:v>
                </c:pt>
                <c:pt idx="1">
                  <c:v>1.10271373415082</c:v>
                </c:pt>
                <c:pt idx="2">
                  <c:v>1.1285377306259201</c:v>
                </c:pt>
                <c:pt idx="3">
                  <c:v>1.6021879649459399E-3</c:v>
                </c:pt>
                <c:pt idx="4">
                  <c:v>2.2962069379499299E-4</c:v>
                </c:pt>
                <c:pt idx="5">
                  <c:v>2.0027460648035499E-4</c:v>
                </c:pt>
                <c:pt idx="6">
                  <c:v>1.47571830051908E-4</c:v>
                </c:pt>
                <c:pt idx="7">
                  <c:v>1.02427610883982E-4</c:v>
                </c:pt>
                <c:pt idx="8">
                  <c:v>1.02618157905001E-4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83-47C2-9BAE-793DD44D0FD2}"/>
            </c:ext>
          </c:extLst>
        </c:ser>
        <c:ser>
          <c:idx val="4"/>
          <c:order val="4"/>
          <c:tx>
            <c:strRef>
              <c:f>'Length Scale'!$O$1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Scale'!$O$2:$O$10</c:f>
              <c:numCache>
                <c:formatCode>General</c:formatCode>
                <c:ptCount val="9"/>
                <c:pt idx="0">
                  <c:v>0.99991079957548101</c:v>
                </c:pt>
                <c:pt idx="1">
                  <c:v>1.0776649044542099</c:v>
                </c:pt>
                <c:pt idx="2">
                  <c:v>1.11247895302436</c:v>
                </c:pt>
                <c:pt idx="3">
                  <c:v>1.7250211918659699E-3</c:v>
                </c:pt>
                <c:pt idx="4">
                  <c:v>2.3984430125385201E-4</c:v>
                </c:pt>
                <c:pt idx="5">
                  <c:v>2.1462103985614699E-4</c:v>
                </c:pt>
                <c:pt idx="6">
                  <c:v>1.6055493835210699E-4</c:v>
                </c:pt>
                <c:pt idx="7">
                  <c:v>1.02814400945564E-4</c:v>
                </c:pt>
                <c:pt idx="8">
                  <c:v>1.0989996325752701E-4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83-47C2-9BAE-793DD44D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15882"/>
        <c:axId val="95919733"/>
      </c:scatterChart>
      <c:valAx>
        <c:axId val="998158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19733"/>
        <c:crosses val="autoZero"/>
        <c:crossBetween val="midCat"/>
      </c:valAx>
      <c:valAx>
        <c:axId val="9591973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158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'Stencil Nodes'!$K$1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'Stencil Nodes'!$K$2:$K$7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C-4E7A-A0A5-C4CA5074179A}"/>
            </c:ext>
          </c:extLst>
        </c:ser>
        <c:ser>
          <c:idx val="1"/>
          <c:order val="1"/>
          <c:tx>
            <c:strRef>
              <c:f>'Stencil Nodes'!$L$1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'Stencil Nodes'!$L$2:$L$7</c:f>
              <c:numCache>
                <c:formatCode>General</c:formatCode>
                <c:ptCount val="6"/>
                <c:pt idx="0">
                  <c:v>5.5803808943119597E-5</c:v>
                </c:pt>
                <c:pt idx="1">
                  <c:v>5.6986407860722598E-5</c:v>
                </c:pt>
                <c:pt idx="2">
                  <c:v>1.1357099607688401E-3</c:v>
                </c:pt>
                <c:pt idx="3">
                  <c:v>8.1940356587272903E-3</c:v>
                </c:pt>
                <c:pt idx="4">
                  <c:v>2196.6219778561899</c:v>
                </c:pt>
                <c:pt idx="5">
                  <c:v>4.5851986900673401E-2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C-4E7A-A0A5-C4CA5074179A}"/>
            </c:ext>
          </c:extLst>
        </c:ser>
        <c:ser>
          <c:idx val="2"/>
          <c:order val="2"/>
          <c:tx>
            <c:strRef>
              <c:f>'Stencil Nodes'!$M$1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'Stencil Nodes'!$M$2:$M$7</c:f>
              <c:numCache>
                <c:formatCode>General</c:formatCode>
                <c:ptCount val="6"/>
                <c:pt idx="0">
                  <c:v>5.7203771136176901E-5</c:v>
                </c:pt>
                <c:pt idx="1">
                  <c:v>5.7196672019154001E-5</c:v>
                </c:pt>
                <c:pt idx="2">
                  <c:v>1.14354561286293E-3</c:v>
                </c:pt>
                <c:pt idx="3">
                  <c:v>4.0629562550777102E-3</c:v>
                </c:pt>
                <c:pt idx="4">
                  <c:v>621.39810559310797</c:v>
                </c:pt>
                <c:pt idx="5">
                  <c:v>5.3306573284037399E-3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C-4E7A-A0A5-C4CA5074179A}"/>
            </c:ext>
          </c:extLst>
        </c:ser>
        <c:ser>
          <c:idx val="3"/>
          <c:order val="3"/>
          <c:tx>
            <c:strRef>
              <c:f>'Stencil Nodes'!$N$1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'Stencil Nodes'!$N$2:$N$7</c:f>
              <c:numCache>
                <c:formatCode>General</c:formatCode>
                <c:ptCount val="6"/>
                <c:pt idx="0">
                  <c:v>1.53104063564873E-4</c:v>
                </c:pt>
                <c:pt idx="1">
                  <c:v>1.5411040720495801E-4</c:v>
                </c:pt>
                <c:pt idx="2">
                  <c:v>8.9199453477862298E-4</c:v>
                </c:pt>
                <c:pt idx="3">
                  <c:v>9.8666282879330191E-4</c:v>
                </c:pt>
                <c:pt idx="4">
                  <c:v>3.4601083537464902E-4</c:v>
                </c:pt>
                <c:pt idx="5">
                  <c:v>1.69700858947708E-4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C-4E7A-A0A5-C4CA5074179A}"/>
            </c:ext>
          </c:extLst>
        </c:ser>
        <c:ser>
          <c:idx val="4"/>
          <c:order val="4"/>
          <c:tx>
            <c:strRef>
              <c:f>'Stencil Nodes'!$O$1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'Stencil Nodes'!$O$2:$O$7</c:f>
              <c:numCache>
                <c:formatCode>General</c:formatCode>
                <c:ptCount val="6"/>
                <c:pt idx="0">
                  <c:v>1.6667803261181599E-4</c:v>
                </c:pt>
                <c:pt idx="1">
                  <c:v>1.66623184985866E-4</c:v>
                </c:pt>
                <c:pt idx="2">
                  <c:v>9.07557511254747E-4</c:v>
                </c:pt>
                <c:pt idx="3">
                  <c:v>5.3588323699698304E-4</c:v>
                </c:pt>
                <c:pt idx="4">
                  <c:v>1.9980039251601199E-4</c:v>
                </c:pt>
                <c:pt idx="5">
                  <c:v>8.6645981081739796E-5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FC-4E7A-A0A5-C4CA5074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3256"/>
        <c:axId val="16970741"/>
      </c:scatterChart>
      <c:valAx>
        <c:axId val="529532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70741"/>
        <c:crosses val="autoZero"/>
        <c:crossBetween val="midCat"/>
      </c:valAx>
      <c:valAx>
        <c:axId val="1697074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532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Center: Relative Errors &amp; Residuals vs num_centers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Center!$K$1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Center!$K$2:$K$9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3-4D55-A027-41AB33F8B945}"/>
            </c:ext>
          </c:extLst>
        </c:ser>
        <c:ser>
          <c:idx val="1"/>
          <c:order val="1"/>
          <c:tx>
            <c:strRef>
              <c:f>Center!$L$1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Center!$L$2:$L$9</c:f>
              <c:numCache>
                <c:formatCode>General</c:formatCode>
                <c:ptCount val="8"/>
                <c:pt idx="0">
                  <c:v>5.5811176244964801E-5</c:v>
                </c:pt>
                <c:pt idx="1">
                  <c:v>5.5807246485684703E-5</c:v>
                </c:pt>
                <c:pt idx="2">
                  <c:v>5.5808266351886203E-5</c:v>
                </c:pt>
                <c:pt idx="3">
                  <c:v>5.5806270774790597E-5</c:v>
                </c:pt>
                <c:pt idx="4">
                  <c:v>5.5806855302755602E-5</c:v>
                </c:pt>
                <c:pt idx="5">
                  <c:v>5.5805833245195002E-5</c:v>
                </c:pt>
                <c:pt idx="6">
                  <c:v>5.5806114665891502E-5</c:v>
                </c:pt>
                <c:pt idx="7">
                  <c:v>5.5806240327530501E-5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3-4D55-A027-41AB33F8B945}"/>
            </c:ext>
          </c:extLst>
        </c:ser>
        <c:ser>
          <c:idx val="2"/>
          <c:order val="2"/>
          <c:tx>
            <c:strRef>
              <c:f>Center!$M$1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Center!$M$2:$M$9</c:f>
              <c:numCache>
                <c:formatCode>General</c:formatCode>
                <c:ptCount val="8"/>
                <c:pt idx="0">
                  <c:v>5.7209587189412301E-5</c:v>
                </c:pt>
                <c:pt idx="1">
                  <c:v>5.7206287861830497E-5</c:v>
                </c:pt>
                <c:pt idx="2">
                  <c:v>5.7207317029155799E-5</c:v>
                </c:pt>
                <c:pt idx="3">
                  <c:v>5.7205727854226202E-5</c:v>
                </c:pt>
                <c:pt idx="4">
                  <c:v>5.7206187039581598E-5</c:v>
                </c:pt>
                <c:pt idx="5">
                  <c:v>5.7205386135452699E-5</c:v>
                </c:pt>
                <c:pt idx="6">
                  <c:v>5.7205594361824201E-5</c:v>
                </c:pt>
                <c:pt idx="7">
                  <c:v>5.7205670580509299E-5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E3-4D55-A027-41AB33F8B945}"/>
            </c:ext>
          </c:extLst>
        </c:ser>
        <c:ser>
          <c:idx val="3"/>
          <c:order val="3"/>
          <c:tx>
            <c:strRef>
              <c:f>Center!$N$1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Center!$N$2:$N$9</c:f>
              <c:numCache>
                <c:formatCode>General</c:formatCode>
                <c:ptCount val="8"/>
                <c:pt idx="0">
                  <c:v>1.5312058438026301E-4</c:v>
                </c:pt>
                <c:pt idx="1">
                  <c:v>1.5311126620051101E-4</c:v>
                </c:pt>
                <c:pt idx="2">
                  <c:v>1.5311396989765299E-4</c:v>
                </c:pt>
                <c:pt idx="3">
                  <c:v>1.5310958595750001E-4</c:v>
                </c:pt>
                <c:pt idx="4">
                  <c:v>1.53110823941842E-4</c:v>
                </c:pt>
                <c:pt idx="5">
                  <c:v>1.5310860277776699E-4</c:v>
                </c:pt>
                <c:pt idx="6">
                  <c:v>1.5310913435796899E-4</c:v>
                </c:pt>
                <c:pt idx="7">
                  <c:v>1.5310940973451499E-4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E3-4D55-A027-41AB33F8B945}"/>
            </c:ext>
          </c:extLst>
        </c:ser>
        <c:ser>
          <c:idx val="4"/>
          <c:order val="4"/>
          <c:tx>
            <c:strRef>
              <c:f>Center!$O$1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Center!$O$2:$O$9</c:f>
              <c:numCache>
                <c:formatCode>General</c:formatCode>
                <c:ptCount val="8"/>
                <c:pt idx="0">
                  <c:v>1.6669460743075199E-4</c:v>
                </c:pt>
                <c:pt idx="1">
                  <c:v>1.66685252434622E-4</c:v>
                </c:pt>
                <c:pt idx="2">
                  <c:v>1.6668816992933299E-4</c:v>
                </c:pt>
                <c:pt idx="3">
                  <c:v>1.66683647267443E-4</c:v>
                </c:pt>
                <c:pt idx="4">
                  <c:v>1.6668495834815201E-4</c:v>
                </c:pt>
                <c:pt idx="5">
                  <c:v>1.6668266901959401E-4</c:v>
                </c:pt>
                <c:pt idx="6">
                  <c:v>1.6668326311466001E-4</c:v>
                </c:pt>
                <c:pt idx="7">
                  <c:v>1.6668348002987101E-4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E3-4D55-A027-41AB33F8B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7458"/>
        <c:axId val="62744748"/>
      </c:scatterChart>
      <c:valAx>
        <c:axId val="596974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num_centers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44748"/>
        <c:crosses val="autoZero"/>
        <c:crossBetween val="midCat"/>
      </c:valAx>
      <c:valAx>
        <c:axId val="627447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974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'Eigenvalue Ratio'!$K$1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5-4F3E-9C21-3EB9E81E5149}"/>
            </c:ext>
          </c:extLst>
        </c:ser>
        <c:ser>
          <c:idx val="1"/>
          <c:order val="1"/>
          <c:tx>
            <c:strRef>
              <c:f>'Eigenvalue Ratio'!$L$1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1.02369022557341E-4</c:v>
                </c:pt>
                <c:pt idx="1">
                  <c:v>1.35127196546193E-4</c:v>
                </c:pt>
                <c:pt idx="2">
                  <c:v>1.8860120824632301E-4</c:v>
                </c:pt>
                <c:pt idx="3">
                  <c:v>1.7648326629044901E-4</c:v>
                </c:pt>
                <c:pt idx="4">
                  <c:v>1.02366921714331E-4</c:v>
                </c:pt>
                <c:pt idx="5">
                  <c:v>7.8882072871593696E-5</c:v>
                </c:pt>
                <c:pt idx="6">
                  <c:v>5.8720256862191998E-5</c:v>
                </c:pt>
                <c:pt idx="7">
                  <c:v>5.6981481475314901E-5</c:v>
                </c:pt>
                <c:pt idx="8">
                  <c:v>5.5977460445851297E-5</c:v>
                </c:pt>
                <c:pt idx="9">
                  <c:v>5.5880257993481302E-5</c:v>
                </c:pt>
                <c:pt idx="10">
                  <c:v>5.5802407167419801E-5</c:v>
                </c:pt>
                <c:pt idx="11">
                  <c:v>5.5793233617183899E-5</c:v>
                </c:pt>
                <c:pt idx="12">
                  <c:v>5.5787001539760201E-5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45-4F3E-9C21-3EB9E81E5149}"/>
            </c:ext>
          </c:extLst>
        </c:ser>
        <c:ser>
          <c:idx val="2"/>
          <c:order val="2"/>
          <c:tx>
            <c:strRef>
              <c:f>'Eigenvalue Ratio'!$M$1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9.78924299473423E-5</c:v>
                </c:pt>
                <c:pt idx="1">
                  <c:v>1.3073902802984699E-4</c:v>
                </c:pt>
                <c:pt idx="2">
                  <c:v>1.88601056178849E-4</c:v>
                </c:pt>
                <c:pt idx="3">
                  <c:v>1.7496085251192899E-4</c:v>
                </c:pt>
                <c:pt idx="4">
                  <c:v>9.7890788031538501E-5</c:v>
                </c:pt>
                <c:pt idx="5">
                  <c:v>7.6103159426363698E-5</c:v>
                </c:pt>
                <c:pt idx="6">
                  <c:v>5.9683144895429501E-5</c:v>
                </c:pt>
                <c:pt idx="7">
                  <c:v>5.8285374167841799E-5</c:v>
                </c:pt>
                <c:pt idx="8">
                  <c:v>5.7377608527514602E-5</c:v>
                </c:pt>
                <c:pt idx="9">
                  <c:v>5.7279020767653898E-5</c:v>
                </c:pt>
                <c:pt idx="10">
                  <c:v>5.7202680210058701E-5</c:v>
                </c:pt>
                <c:pt idx="11">
                  <c:v>5.7193297446086797E-5</c:v>
                </c:pt>
                <c:pt idx="12">
                  <c:v>5.7185817059313398E-5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45-4F3E-9C21-3EB9E81E5149}"/>
            </c:ext>
          </c:extLst>
        </c:ser>
        <c:ser>
          <c:idx val="3"/>
          <c:order val="3"/>
          <c:tx>
            <c:strRef>
              <c:f>'Eigenvalue Ratio'!$N$1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1.60580202287623E-4</c:v>
                </c:pt>
                <c:pt idx="1">
                  <c:v>1.70234858064829E-4</c:v>
                </c:pt>
                <c:pt idx="2">
                  <c:v>1.8856580622240499E-4</c:v>
                </c:pt>
                <c:pt idx="3">
                  <c:v>1.8425754590322801E-4</c:v>
                </c:pt>
                <c:pt idx="4">
                  <c:v>1.60577428318936E-4</c:v>
                </c:pt>
                <c:pt idx="5">
                  <c:v>1.5528827502258699E-4</c:v>
                </c:pt>
                <c:pt idx="6">
                  <c:v>1.5295703882286499E-4</c:v>
                </c:pt>
                <c:pt idx="7">
                  <c:v>1.5297759996824801E-4</c:v>
                </c:pt>
                <c:pt idx="8">
                  <c:v>1.5307829131522399E-4</c:v>
                </c:pt>
                <c:pt idx="9">
                  <c:v>1.5309078256475501E-4</c:v>
                </c:pt>
                <c:pt idx="10">
                  <c:v>1.5310075961356501E-4</c:v>
                </c:pt>
                <c:pt idx="11">
                  <c:v>1.53102395334666E-4</c:v>
                </c:pt>
                <c:pt idx="12">
                  <c:v>1.5310446090456301E-4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45-4F3E-9C21-3EB9E81E5149}"/>
            </c:ext>
          </c:extLst>
        </c:ser>
        <c:ser>
          <c:idx val="4"/>
          <c:order val="4"/>
          <c:tx>
            <c:strRef>
              <c:f>'Eigenvalue Ratio'!$O$1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1.69436844569286E-4</c:v>
                </c:pt>
                <c:pt idx="1">
                  <c:v>1.7516730767001601E-4</c:v>
                </c:pt>
                <c:pt idx="2">
                  <c:v>1.8856549252607799E-4</c:v>
                </c:pt>
                <c:pt idx="3">
                  <c:v>1.8518780159581299E-4</c:v>
                </c:pt>
                <c:pt idx="4">
                  <c:v>1.6943422430265701E-4</c:v>
                </c:pt>
                <c:pt idx="5">
                  <c:v>1.6694237814000201E-4</c:v>
                </c:pt>
                <c:pt idx="6">
                  <c:v>1.6638524917962001E-4</c:v>
                </c:pt>
                <c:pt idx="7">
                  <c:v>1.6650216397402101E-4</c:v>
                </c:pt>
                <c:pt idx="8">
                  <c:v>1.6663853384142E-4</c:v>
                </c:pt>
                <c:pt idx="9">
                  <c:v>1.66658459836664E-4</c:v>
                </c:pt>
                <c:pt idx="10">
                  <c:v>1.666748792264E-4</c:v>
                </c:pt>
                <c:pt idx="11">
                  <c:v>1.66676961436084E-4</c:v>
                </c:pt>
                <c:pt idx="12">
                  <c:v>1.6667863228671999E-4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45-4F3E-9C21-3EB9E81E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2047"/>
        <c:axId val="36678990"/>
      </c:scatterChart>
      <c:valAx>
        <c:axId val="185720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78990"/>
        <c:crosses val="autoZero"/>
        <c:crossBetween val="midCat"/>
      </c:valAx>
      <c:valAx>
        <c:axId val="3667899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5720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'Eigenvector Angle'!$K$1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9-4403-B0FC-8AF6C1765315}"/>
            </c:ext>
          </c:extLst>
        </c:ser>
        <c:ser>
          <c:idx val="1"/>
          <c:order val="1"/>
          <c:tx>
            <c:strRef>
              <c:f>'Eigenvector Angle'!$L$1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5.5803324961466503E-5</c:v>
                </c:pt>
                <c:pt idx="1">
                  <c:v>1.27392089710173E-2</c:v>
                </c:pt>
                <c:pt idx="2">
                  <c:v>1.2657562263407101</c:v>
                </c:pt>
                <c:pt idx="3">
                  <c:v>0.14642894624105801</c:v>
                </c:pt>
                <c:pt idx="4">
                  <c:v>5.5802407167419801E-5</c:v>
                </c:pt>
                <c:pt idx="5">
                  <c:v>0.14174166348751799</c:v>
                </c:pt>
                <c:pt idx="6">
                  <c:v>6.04100080001235E-2</c:v>
                </c:pt>
                <c:pt idx="7">
                  <c:v>2.8398014946802101E-2</c:v>
                </c:pt>
                <c:pt idx="8">
                  <c:v>5.5803324961433299E-5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9-4403-B0FC-8AF6C1765315}"/>
            </c:ext>
          </c:extLst>
        </c:ser>
        <c:ser>
          <c:idx val="2"/>
          <c:order val="2"/>
          <c:tx>
            <c:strRef>
              <c:f>'Eigenvector Angle'!$M$1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5.7203555102959998E-5</c:v>
                </c:pt>
                <c:pt idx="1">
                  <c:v>5.3311346273812801E-3</c:v>
                </c:pt>
                <c:pt idx="2">
                  <c:v>0.322729855606945</c:v>
                </c:pt>
                <c:pt idx="3">
                  <c:v>4.97629975228615E-2</c:v>
                </c:pt>
                <c:pt idx="4">
                  <c:v>5.7202680210058701E-5</c:v>
                </c:pt>
                <c:pt idx="5">
                  <c:v>3.5653919688127603E-2</c:v>
                </c:pt>
                <c:pt idx="6">
                  <c:v>3.3454017204872698E-2</c:v>
                </c:pt>
                <c:pt idx="7">
                  <c:v>8.4643175490863396E-3</c:v>
                </c:pt>
                <c:pt idx="8">
                  <c:v>5.7203555102920899E-5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A9-4403-B0FC-8AF6C1765315}"/>
            </c:ext>
          </c:extLst>
        </c:ser>
        <c:ser>
          <c:idx val="3"/>
          <c:order val="3"/>
          <c:tx>
            <c:strRef>
              <c:f>'Eigenvector Angle'!$N$1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1.5310306298731599E-4</c:v>
                </c:pt>
                <c:pt idx="1">
                  <c:v>2.0345782721361099E-2</c:v>
                </c:pt>
                <c:pt idx="2">
                  <c:v>2.15698204970633E-2</c:v>
                </c:pt>
                <c:pt idx="3">
                  <c:v>2.0345781830763202E-2</c:v>
                </c:pt>
                <c:pt idx="4">
                  <c:v>1.5310075961356501E-4</c:v>
                </c:pt>
                <c:pt idx="5">
                  <c:v>2.5618312940577599E-2</c:v>
                </c:pt>
                <c:pt idx="6">
                  <c:v>2.56964124837076E-2</c:v>
                </c:pt>
                <c:pt idx="7">
                  <c:v>2.56293512266174E-2</c:v>
                </c:pt>
                <c:pt idx="8">
                  <c:v>1.5310306298702101E-4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9-4403-B0FC-8AF6C1765315}"/>
            </c:ext>
          </c:extLst>
        </c:ser>
        <c:ser>
          <c:idx val="4"/>
          <c:order val="4"/>
          <c:tx>
            <c:strRef>
              <c:f>'Eigenvector Angle'!$O$1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1.6667742258712599E-4</c:v>
                </c:pt>
                <c:pt idx="1">
                  <c:v>1.7163498233551101E-2</c:v>
                </c:pt>
                <c:pt idx="2">
                  <c:v>1.7122285339681201E-2</c:v>
                </c:pt>
                <c:pt idx="3">
                  <c:v>1.7191168415244599E-2</c:v>
                </c:pt>
                <c:pt idx="4">
                  <c:v>1.666748792264E-4</c:v>
                </c:pt>
                <c:pt idx="5">
                  <c:v>2.4527308274615099E-2</c:v>
                </c:pt>
                <c:pt idx="6">
                  <c:v>2.4866548324841899E-2</c:v>
                </c:pt>
                <c:pt idx="7">
                  <c:v>2.4487584424664501E-2</c:v>
                </c:pt>
                <c:pt idx="8">
                  <c:v>1.66677422587006E-4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A9-4403-B0FC-8AF6C176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21486"/>
        <c:axId val="21666705"/>
      </c:scatterChart>
      <c:valAx>
        <c:axId val="533214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66705"/>
        <c:crosses val="autoZero"/>
        <c:crossBetween val="midCat"/>
      </c:valAx>
      <c:valAx>
        <c:axId val="2166670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214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J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0.95174499999999995</v>
      </c>
      <c r="D2" t="b">
        <f>TRUE()</f>
        <v>1</v>
      </c>
      <c r="E2">
        <v>6</v>
      </c>
      <c r="F2">
        <v>3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1.3024155283463501E-3</v>
      </c>
      <c r="M2">
        <v>1.3286588321050801E-3</v>
      </c>
      <c r="N2">
        <v>3.5530079773936499E-3</v>
      </c>
      <c r="O2">
        <v>3.85120018374398E-3</v>
      </c>
      <c r="P2" t="s">
        <v>20</v>
      </c>
      <c r="Q2">
        <v>20</v>
      </c>
    </row>
    <row r="3" spans="1:17" x14ac:dyDescent="0.3">
      <c r="A3">
        <v>30</v>
      </c>
      <c r="B3">
        <v>30</v>
      </c>
      <c r="C3">
        <v>0.95174499999999995</v>
      </c>
      <c r="D3" t="b">
        <f>TRUE()</f>
        <v>1</v>
      </c>
      <c r="E3">
        <v>6</v>
      </c>
      <c r="F3">
        <v>3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5.9303247439084904E-4</v>
      </c>
      <c r="M3">
        <v>6.0831355876920005E-4</v>
      </c>
      <c r="N3">
        <v>1.62888239130064E-3</v>
      </c>
      <c r="O3">
        <v>1.76846044977028E-3</v>
      </c>
      <c r="P3" t="s">
        <v>20</v>
      </c>
      <c r="Q3">
        <v>30</v>
      </c>
    </row>
    <row r="4" spans="1:17" x14ac:dyDescent="0.3">
      <c r="A4">
        <v>50</v>
      </c>
      <c r="B4">
        <v>50</v>
      </c>
      <c r="C4">
        <v>0.95174499999999995</v>
      </c>
      <c r="D4" t="b">
        <f>TRUE()</f>
        <v>1</v>
      </c>
      <c r="E4">
        <v>6</v>
      </c>
      <c r="F4">
        <v>3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2.18951993867146E-4</v>
      </c>
      <c r="M4">
        <v>2.2447906699248101E-4</v>
      </c>
      <c r="N4">
        <v>6.0097605481454399E-4</v>
      </c>
      <c r="O4">
        <v>6.5362695984340097E-4</v>
      </c>
      <c r="P4" t="s">
        <v>20</v>
      </c>
      <c r="Q4">
        <v>50</v>
      </c>
    </row>
    <row r="5" spans="1:17" x14ac:dyDescent="0.3">
      <c r="A5">
        <v>75</v>
      </c>
      <c r="B5">
        <v>75</v>
      </c>
      <c r="C5">
        <v>0.95174499999999995</v>
      </c>
      <c r="D5" t="b">
        <f>TRUE()</f>
        <v>1</v>
      </c>
      <c r="E5">
        <v>6</v>
      </c>
      <c r="F5">
        <v>3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9.8653392069871E-5</v>
      </c>
      <c r="M5">
        <v>1.01045488901465E-4</v>
      </c>
      <c r="N5">
        <v>2.70412028264549E-4</v>
      </c>
      <c r="O5">
        <v>2.9436890655716699E-4</v>
      </c>
      <c r="P5" t="s">
        <v>20</v>
      </c>
      <c r="Q5">
        <v>75</v>
      </c>
    </row>
    <row r="6" spans="1:17" x14ac:dyDescent="0.3">
      <c r="A6">
        <v>100</v>
      </c>
      <c r="B6">
        <v>100</v>
      </c>
      <c r="C6">
        <v>0.95174499999999995</v>
      </c>
      <c r="D6" t="b">
        <f>TRUE()</f>
        <v>1</v>
      </c>
      <c r="E6">
        <v>6</v>
      </c>
      <c r="F6">
        <v>3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5.5802407167419801E-5</v>
      </c>
      <c r="M6">
        <v>5.7202680210058701E-5</v>
      </c>
      <c r="N6">
        <v>1.5310075961356501E-4</v>
      </c>
      <c r="O6">
        <v>1.666748792264E-4</v>
      </c>
      <c r="P6" t="s">
        <v>20</v>
      </c>
      <c r="Q6">
        <v>100</v>
      </c>
    </row>
    <row r="7" spans="1:17" x14ac:dyDescent="0.3">
      <c r="A7">
        <v>125</v>
      </c>
      <c r="B7">
        <v>125</v>
      </c>
      <c r="C7">
        <v>0.95174499999999995</v>
      </c>
      <c r="D7" t="b">
        <f>TRUE()</f>
        <v>1</v>
      </c>
      <c r="E7">
        <v>6</v>
      </c>
      <c r="F7">
        <v>3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3.5860926744041397E-5</v>
      </c>
      <c r="M7">
        <v>3.6755270101831698E-5</v>
      </c>
      <c r="N7">
        <v>9.8369640543913097E-5</v>
      </c>
      <c r="O7">
        <v>1.0710493942324699E-4</v>
      </c>
      <c r="P7" t="s">
        <v>20</v>
      </c>
      <c r="Q7">
        <v>125</v>
      </c>
    </row>
    <row r="8" spans="1:17" x14ac:dyDescent="0.3">
      <c r="A8">
        <v>150</v>
      </c>
      <c r="B8">
        <v>150</v>
      </c>
      <c r="C8">
        <v>0.95174499999999995</v>
      </c>
      <c r="D8" t="b">
        <f>TRUE()</f>
        <v>1</v>
      </c>
      <c r="E8">
        <v>6</v>
      </c>
      <c r="F8">
        <v>3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2.4961180345769701E-5</v>
      </c>
      <c r="M8">
        <v>2.5584936639123101E-5</v>
      </c>
      <c r="N8">
        <v>6.8478924050571402E-5</v>
      </c>
      <c r="O8">
        <v>7.4557864670888097E-5</v>
      </c>
      <c r="P8" t="s">
        <v>20</v>
      </c>
      <c r="Q8">
        <v>150</v>
      </c>
    </row>
    <row r="9" spans="1:17" x14ac:dyDescent="0.3">
      <c r="A9">
        <v>175</v>
      </c>
      <c r="B9">
        <v>175</v>
      </c>
      <c r="C9">
        <v>0.95174499999999995</v>
      </c>
      <c r="D9" t="b">
        <f>TRUE()</f>
        <v>1</v>
      </c>
      <c r="E9">
        <v>6</v>
      </c>
      <c r="F9">
        <v>3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1.8369172105132601E-5</v>
      </c>
      <c r="M9">
        <v>1.8824509307496199E-5</v>
      </c>
      <c r="N9">
        <v>5.03963601220177E-5</v>
      </c>
      <c r="O9">
        <v>5.4856979194595502E-5</v>
      </c>
      <c r="P9" t="s">
        <v>20</v>
      </c>
      <c r="Q9">
        <v>175</v>
      </c>
    </row>
    <row r="10" spans="1:17" x14ac:dyDescent="0.3">
      <c r="A10">
        <v>200</v>
      </c>
      <c r="B10">
        <v>200</v>
      </c>
      <c r="C10">
        <v>0.95174499999999995</v>
      </c>
      <c r="D10" t="b">
        <f>TRUE()</f>
        <v>1</v>
      </c>
      <c r="E10">
        <v>6</v>
      </c>
      <c r="F10">
        <v>3</v>
      </c>
      <c r="G10" t="s">
        <v>17</v>
      </c>
      <c r="H10" t="s">
        <v>18</v>
      </c>
      <c r="I10" t="s">
        <v>19</v>
      </c>
      <c r="J10" t="b">
        <f>FALSE()</f>
        <v>0</v>
      </c>
      <c r="K10" t="b">
        <f>TRUE()</f>
        <v>1</v>
      </c>
      <c r="L10">
        <v>1.4079954921858899E-5</v>
      </c>
      <c r="M10">
        <v>1.4428074260151999E-5</v>
      </c>
      <c r="N10">
        <v>3.8620575892005903E-5</v>
      </c>
      <c r="O10">
        <v>4.2042770842038802E-5</v>
      </c>
      <c r="P10" t="s">
        <v>20</v>
      </c>
      <c r="Q10">
        <v>200</v>
      </c>
    </row>
    <row r="11" spans="1:17" x14ac:dyDescent="0.3">
      <c r="A11">
        <v>250</v>
      </c>
      <c r="B11">
        <v>250</v>
      </c>
      <c r="C11">
        <v>0.95174499999999995</v>
      </c>
      <c r="D11" t="b">
        <f>TRUE()</f>
        <v>1</v>
      </c>
      <c r="E11">
        <v>6</v>
      </c>
      <c r="F11">
        <v>3</v>
      </c>
      <c r="G11" t="s">
        <v>17</v>
      </c>
      <c r="H11" t="s">
        <v>18</v>
      </c>
      <c r="I11" t="s">
        <v>19</v>
      </c>
      <c r="J11" t="b">
        <f>FALSE()</f>
        <v>0</v>
      </c>
      <c r="K11" t="b">
        <f>TRUE()</f>
        <v>1</v>
      </c>
      <c r="L11">
        <v>9.0740298891722308E-6</v>
      </c>
      <c r="M11">
        <v>9.2449580490946095E-6</v>
      </c>
      <c r="N11">
        <v>2.4635642896927301E-5</v>
      </c>
      <c r="O11">
        <v>2.6800031164891899E-5</v>
      </c>
      <c r="P11" t="s">
        <v>20</v>
      </c>
      <c r="Q11">
        <v>250</v>
      </c>
    </row>
    <row r="12" spans="1:17" x14ac:dyDescent="0.3">
      <c r="A12">
        <v>300</v>
      </c>
      <c r="B12">
        <v>300</v>
      </c>
      <c r="C12">
        <v>0.95174499999999995</v>
      </c>
      <c r="D12" t="b">
        <f>TRUE()</f>
        <v>1</v>
      </c>
      <c r="E12">
        <v>6</v>
      </c>
      <c r="F12">
        <v>3</v>
      </c>
      <c r="G12" t="s">
        <v>17</v>
      </c>
      <c r="H12" t="s">
        <v>18</v>
      </c>
      <c r="I12" t="s">
        <v>19</v>
      </c>
      <c r="J12" t="b">
        <f>FALSE()</f>
        <v>0</v>
      </c>
      <c r="K12" t="b">
        <f>TRUE()</f>
        <v>1</v>
      </c>
      <c r="L12">
        <v>6.6020430999893296E-6</v>
      </c>
      <c r="M12">
        <v>6.5711384378234397E-6</v>
      </c>
      <c r="N12">
        <v>1.70061932577169E-5</v>
      </c>
      <c r="O12">
        <v>1.8476007970372799E-5</v>
      </c>
      <c r="P12" t="s">
        <v>20</v>
      </c>
      <c r="Q12">
        <v>300</v>
      </c>
    </row>
    <row r="13" spans="1:17" x14ac:dyDescent="0.3">
      <c r="A13">
        <v>500</v>
      </c>
      <c r="B13">
        <v>500</v>
      </c>
      <c r="C13">
        <v>0.95174499999999995</v>
      </c>
      <c r="D13" t="b">
        <f>TRUE()</f>
        <v>1</v>
      </c>
      <c r="E13">
        <v>6</v>
      </c>
      <c r="F13">
        <v>3</v>
      </c>
      <c r="G13" t="s">
        <v>17</v>
      </c>
      <c r="H13" t="s">
        <v>18</v>
      </c>
      <c r="I13" t="s">
        <v>19</v>
      </c>
      <c r="J13" t="b">
        <f>FALSE()</f>
        <v>0</v>
      </c>
      <c r="K13" t="b">
        <f>TRUE()</f>
        <v>1</v>
      </c>
      <c r="L13">
        <v>1.7514391870899501E-5</v>
      </c>
      <c r="M13">
        <v>1.77872629849329E-5</v>
      </c>
      <c r="N13">
        <v>1.28820136660425E-5</v>
      </c>
      <c r="O13">
        <v>1.35104383776569E-5</v>
      </c>
      <c r="P13" t="s">
        <v>20</v>
      </c>
      <c r="Q13">
        <v>500</v>
      </c>
    </row>
    <row r="14" spans="1:17" x14ac:dyDescent="0.3">
      <c r="A14">
        <v>750</v>
      </c>
      <c r="B14">
        <v>750</v>
      </c>
      <c r="C14">
        <v>0.95174499999999995</v>
      </c>
      <c r="D14" t="b">
        <f>TRUE()</f>
        <v>1</v>
      </c>
      <c r="E14">
        <v>6</v>
      </c>
      <c r="F14">
        <v>3</v>
      </c>
      <c r="G14" t="s">
        <v>17</v>
      </c>
      <c r="H14" t="s">
        <v>18</v>
      </c>
      <c r="I14" t="s">
        <v>19</v>
      </c>
      <c r="J14" t="b">
        <f>FALSE()</f>
        <v>0</v>
      </c>
      <c r="K14" t="b">
        <f>TRUE()</f>
        <v>1</v>
      </c>
      <c r="L14">
        <v>6.2241935310122906E-5</v>
      </c>
      <c r="M14">
        <v>6.3754888685970705E-5</v>
      </c>
      <c r="N14">
        <v>4.3652838347874501E-5</v>
      </c>
      <c r="O14">
        <v>4.7024904847577903E-5</v>
      </c>
      <c r="P14" t="s">
        <v>20</v>
      </c>
      <c r="Q14">
        <v>750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1E-3</v>
      </c>
      <c r="D2" t="b">
        <f>TRUE()</f>
        <v>1</v>
      </c>
      <c r="E2">
        <v>6</v>
      </c>
      <c r="F2">
        <v>3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1685629024.7776</v>
      </c>
      <c r="M2">
        <v>165091849.39562401</v>
      </c>
      <c r="N2">
        <v>0.99997261773972401</v>
      </c>
      <c r="O2">
        <v>0.99991079957548101</v>
      </c>
      <c r="P2" t="s">
        <v>21</v>
      </c>
      <c r="Q2">
        <v>1E-3</v>
      </c>
    </row>
    <row r="3" spans="1:17" x14ac:dyDescent="0.3">
      <c r="A3">
        <v>100</v>
      </c>
      <c r="B3">
        <v>100</v>
      </c>
      <c r="C3">
        <v>5.0000000000000001E-3</v>
      </c>
      <c r="D3" t="b">
        <f>TRUE()</f>
        <v>1</v>
      </c>
      <c r="E3">
        <v>6</v>
      </c>
      <c r="F3">
        <v>3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136.10326237482101</v>
      </c>
      <c r="M3">
        <v>71.126174122819904</v>
      </c>
      <c r="N3">
        <v>1.10271373415082</v>
      </c>
      <c r="O3">
        <v>1.0776649044542099</v>
      </c>
      <c r="P3" t="s">
        <v>21</v>
      </c>
      <c r="Q3">
        <v>5.0000000000000001E-3</v>
      </c>
    </row>
    <row r="4" spans="1:17" x14ac:dyDescent="0.3">
      <c r="A4">
        <v>100</v>
      </c>
      <c r="B4">
        <v>100</v>
      </c>
      <c r="C4">
        <v>0.01</v>
      </c>
      <c r="D4" t="b">
        <f>TRUE()</f>
        <v>1</v>
      </c>
      <c r="E4">
        <v>6</v>
      </c>
      <c r="F4">
        <v>3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2.8466861901219702</v>
      </c>
      <c r="M4">
        <v>2.7344700988534698</v>
      </c>
      <c r="N4">
        <v>1.1285377306259201</v>
      </c>
      <c r="O4">
        <v>1.11247895302436</v>
      </c>
      <c r="P4" t="s">
        <v>21</v>
      </c>
      <c r="Q4">
        <v>0.01</v>
      </c>
    </row>
    <row r="5" spans="1:17" x14ac:dyDescent="0.3">
      <c r="A5">
        <v>100</v>
      </c>
      <c r="B5">
        <v>100</v>
      </c>
      <c r="C5">
        <v>0.05</v>
      </c>
      <c r="D5" t="b">
        <f>TRUE()</f>
        <v>1</v>
      </c>
      <c r="E5">
        <v>6</v>
      </c>
      <c r="F5">
        <v>3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2.2796604522715E-3</v>
      </c>
      <c r="M5">
        <v>2.3345861179085302E-3</v>
      </c>
      <c r="N5">
        <v>1.6021879649459399E-3</v>
      </c>
      <c r="O5">
        <v>1.7250211918659699E-3</v>
      </c>
      <c r="P5" t="s">
        <v>21</v>
      </c>
      <c r="Q5">
        <v>0.05</v>
      </c>
    </row>
    <row r="6" spans="1:17" x14ac:dyDescent="0.3">
      <c r="A6">
        <v>100</v>
      </c>
      <c r="B6">
        <v>100</v>
      </c>
      <c r="C6">
        <v>0.1</v>
      </c>
      <c r="D6" t="b">
        <f>TRUE()</f>
        <v>1</v>
      </c>
      <c r="E6">
        <v>6</v>
      </c>
      <c r="F6">
        <v>3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1.4072724336933401E-4</v>
      </c>
      <c r="M6">
        <v>1.33541015122463E-4</v>
      </c>
      <c r="N6">
        <v>2.2962069379499299E-4</v>
      </c>
      <c r="O6">
        <v>2.3984430125385201E-4</v>
      </c>
      <c r="P6" t="s">
        <v>21</v>
      </c>
      <c r="Q6">
        <v>0.1</v>
      </c>
    </row>
    <row r="7" spans="1:17" x14ac:dyDescent="0.3">
      <c r="A7">
        <v>100</v>
      </c>
      <c r="B7">
        <v>100</v>
      </c>
      <c r="C7">
        <v>0.5</v>
      </c>
      <c r="D7" t="b">
        <f>TRUE()</f>
        <v>1</v>
      </c>
      <c r="E7">
        <v>6</v>
      </c>
      <c r="F7">
        <v>3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9.6238036019941596E-5</v>
      </c>
      <c r="M7">
        <v>9.1028507009359406E-5</v>
      </c>
      <c r="N7">
        <v>2.0027460648035499E-4</v>
      </c>
      <c r="O7">
        <v>2.1462103985614699E-4</v>
      </c>
      <c r="P7" t="s">
        <v>21</v>
      </c>
      <c r="Q7">
        <v>0.5</v>
      </c>
    </row>
    <row r="8" spans="1:17" x14ac:dyDescent="0.3">
      <c r="A8">
        <v>100</v>
      </c>
      <c r="B8">
        <v>100</v>
      </c>
      <c r="C8">
        <v>1</v>
      </c>
      <c r="D8" t="b">
        <f>TRUE()</f>
        <v>1</v>
      </c>
      <c r="E8">
        <v>6</v>
      </c>
      <c r="F8">
        <v>3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5.4591727240156102E-5</v>
      </c>
      <c r="M8">
        <v>5.5536816043401897E-5</v>
      </c>
      <c r="N8">
        <v>1.47571830051908E-4</v>
      </c>
      <c r="O8">
        <v>1.6055493835210699E-4</v>
      </c>
      <c r="P8" t="s">
        <v>21</v>
      </c>
      <c r="Q8">
        <v>1</v>
      </c>
    </row>
    <row r="9" spans="1:17" x14ac:dyDescent="0.3">
      <c r="A9">
        <v>100</v>
      </c>
      <c r="B9">
        <v>100</v>
      </c>
      <c r="C9">
        <v>1.5</v>
      </c>
      <c r="D9" t="b">
        <f>TRUE()</f>
        <v>1</v>
      </c>
      <c r="E9">
        <v>6</v>
      </c>
      <c r="F9">
        <v>3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9.2197394030578102E-5</v>
      </c>
      <c r="M9">
        <v>9.1226857172650605E-5</v>
      </c>
      <c r="N9">
        <v>1.02427610883982E-4</v>
      </c>
      <c r="O9">
        <v>1.02814400945564E-4</v>
      </c>
      <c r="P9" t="s">
        <v>21</v>
      </c>
      <c r="Q9">
        <v>1.5</v>
      </c>
    </row>
    <row r="10" spans="1:17" x14ac:dyDescent="0.3">
      <c r="A10">
        <v>100</v>
      </c>
      <c r="B10">
        <v>100</v>
      </c>
      <c r="C10">
        <v>2</v>
      </c>
      <c r="D10" t="b">
        <f>TRUE()</f>
        <v>1</v>
      </c>
      <c r="E10">
        <v>6</v>
      </c>
      <c r="F10">
        <v>3</v>
      </c>
      <c r="G10" t="s">
        <v>17</v>
      </c>
      <c r="H10" t="s">
        <v>18</v>
      </c>
      <c r="I10" t="s">
        <v>19</v>
      </c>
      <c r="J10" t="b">
        <f>FALSE()</f>
        <v>0</v>
      </c>
      <c r="K10" t="b">
        <f>TRUE()</f>
        <v>1</v>
      </c>
      <c r="L10">
        <v>1.4468250591069301E-4</v>
      </c>
      <c r="M10">
        <v>1.4813479972383499E-4</v>
      </c>
      <c r="N10">
        <v>1.02618157905001E-4</v>
      </c>
      <c r="O10">
        <v>1.0989996325752701E-4</v>
      </c>
      <c r="P10" t="s">
        <v>21</v>
      </c>
      <c r="Q10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0.95174499999999995</v>
      </c>
      <c r="D2" t="b">
        <f>TRUE()</f>
        <v>1</v>
      </c>
      <c r="E2">
        <v>5</v>
      </c>
      <c r="F2">
        <v>3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5.5803808943119597E-5</v>
      </c>
      <c r="M2">
        <v>5.7203771136176901E-5</v>
      </c>
      <c r="N2">
        <v>1.53104063564873E-4</v>
      </c>
      <c r="O2">
        <v>1.6667803261181599E-4</v>
      </c>
      <c r="P2" t="s">
        <v>4</v>
      </c>
      <c r="Q2">
        <v>5</v>
      </c>
    </row>
    <row r="3" spans="1:17" x14ac:dyDescent="0.3">
      <c r="A3">
        <v>100</v>
      </c>
      <c r="B3">
        <v>100</v>
      </c>
      <c r="C3">
        <v>0.95174499999999995</v>
      </c>
      <c r="D3" t="b">
        <f>TRUE()</f>
        <v>1</v>
      </c>
      <c r="E3">
        <v>7</v>
      </c>
      <c r="F3">
        <v>3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5.6986407860722598E-5</v>
      </c>
      <c r="M3">
        <v>5.7196672019154001E-5</v>
      </c>
      <c r="N3">
        <v>1.5411040720495801E-4</v>
      </c>
      <c r="O3">
        <v>1.66623184985866E-4</v>
      </c>
      <c r="P3" t="s">
        <v>4</v>
      </c>
      <c r="Q3">
        <v>7</v>
      </c>
    </row>
    <row r="4" spans="1:17" x14ac:dyDescent="0.3">
      <c r="A4">
        <v>100</v>
      </c>
      <c r="B4">
        <v>100</v>
      </c>
      <c r="C4">
        <v>0.95174499999999995</v>
      </c>
      <c r="D4" t="b">
        <f>TRUE()</f>
        <v>1</v>
      </c>
      <c r="E4">
        <v>10</v>
      </c>
      <c r="F4">
        <v>3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1.1357099607688401E-3</v>
      </c>
      <c r="M4">
        <v>1.14354561286293E-3</v>
      </c>
      <c r="N4">
        <v>8.9199453477862298E-4</v>
      </c>
      <c r="O4">
        <v>9.07557511254747E-4</v>
      </c>
      <c r="P4" t="s">
        <v>4</v>
      </c>
      <c r="Q4">
        <v>10</v>
      </c>
    </row>
    <row r="5" spans="1:17" x14ac:dyDescent="0.3">
      <c r="A5">
        <v>100</v>
      </c>
      <c r="B5">
        <v>100</v>
      </c>
      <c r="C5">
        <v>0.95174499999999995</v>
      </c>
      <c r="D5" t="b">
        <f>TRUE()</f>
        <v>1</v>
      </c>
      <c r="E5">
        <v>15</v>
      </c>
      <c r="F5">
        <v>3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8.1940356587272903E-3</v>
      </c>
      <c r="M5">
        <v>4.0629562550777102E-3</v>
      </c>
      <c r="N5">
        <v>9.8666282879330191E-4</v>
      </c>
      <c r="O5">
        <v>5.3588323699698304E-4</v>
      </c>
      <c r="P5" t="s">
        <v>4</v>
      </c>
      <c r="Q5">
        <v>15</v>
      </c>
    </row>
    <row r="6" spans="1:17" x14ac:dyDescent="0.3">
      <c r="A6">
        <v>100</v>
      </c>
      <c r="B6">
        <v>100</v>
      </c>
      <c r="C6">
        <v>0.95174499999999995</v>
      </c>
      <c r="D6" t="b">
        <f>TRUE()</f>
        <v>1</v>
      </c>
      <c r="E6">
        <v>20</v>
      </c>
      <c r="F6">
        <v>3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2196.6219778561899</v>
      </c>
      <c r="M6">
        <v>621.39810559310797</v>
      </c>
      <c r="N6">
        <v>3.4601083537464902E-4</v>
      </c>
      <c r="O6">
        <v>1.9980039251601199E-4</v>
      </c>
      <c r="P6" t="s">
        <v>4</v>
      </c>
      <c r="Q6">
        <v>20</v>
      </c>
    </row>
    <row r="7" spans="1:17" x14ac:dyDescent="0.3">
      <c r="A7">
        <v>100</v>
      </c>
      <c r="B7">
        <v>100</v>
      </c>
      <c r="C7">
        <v>0.95174499999999995</v>
      </c>
      <c r="D7" t="b">
        <f>TRUE()</f>
        <v>1</v>
      </c>
      <c r="E7">
        <v>25</v>
      </c>
      <c r="F7">
        <v>3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4.5851986900673401E-2</v>
      </c>
      <c r="M7">
        <v>5.3306573284037399E-3</v>
      </c>
      <c r="N7">
        <v>1.69700858947708E-4</v>
      </c>
      <c r="O7">
        <v>8.6645981081739796E-5</v>
      </c>
      <c r="P7" t="s">
        <v>4</v>
      </c>
      <c r="Q7">
        <v>25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0.95174499999999995</v>
      </c>
      <c r="D2" t="b">
        <f>TRUE()</f>
        <v>1</v>
      </c>
      <c r="E2">
        <v>6</v>
      </c>
      <c r="F2">
        <v>5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5.5811176244964801E-5</v>
      </c>
      <c r="M2">
        <v>5.7209587189412301E-5</v>
      </c>
      <c r="N2">
        <v>1.5312058438026301E-4</v>
      </c>
      <c r="O2">
        <v>1.6669460743075199E-4</v>
      </c>
      <c r="P2" t="s">
        <v>5</v>
      </c>
      <c r="Q2">
        <v>5</v>
      </c>
    </row>
    <row r="3" spans="1:17" x14ac:dyDescent="0.3">
      <c r="A3">
        <v>100</v>
      </c>
      <c r="B3">
        <v>100</v>
      </c>
      <c r="C3">
        <v>0.95174499999999995</v>
      </c>
      <c r="D3" t="b">
        <f>TRUE()</f>
        <v>1</v>
      </c>
      <c r="E3">
        <v>6</v>
      </c>
      <c r="F3">
        <v>7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5.5807246485684703E-5</v>
      </c>
      <c r="M3">
        <v>5.7206287861830497E-5</v>
      </c>
      <c r="N3">
        <v>1.5311126620051101E-4</v>
      </c>
      <c r="O3">
        <v>1.66685252434622E-4</v>
      </c>
      <c r="P3" t="s">
        <v>5</v>
      </c>
      <c r="Q3">
        <v>7</v>
      </c>
    </row>
    <row r="4" spans="1:17" x14ac:dyDescent="0.3">
      <c r="A4">
        <v>100</v>
      </c>
      <c r="B4">
        <v>100</v>
      </c>
      <c r="C4">
        <v>0.95174499999999995</v>
      </c>
      <c r="D4" t="b">
        <f>TRUE()</f>
        <v>1</v>
      </c>
      <c r="E4">
        <v>6</v>
      </c>
      <c r="F4">
        <v>10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5.5808266351886203E-5</v>
      </c>
      <c r="M4">
        <v>5.7207317029155799E-5</v>
      </c>
      <c r="N4">
        <v>1.5311396989765299E-4</v>
      </c>
      <c r="O4">
        <v>1.6668816992933299E-4</v>
      </c>
      <c r="P4" t="s">
        <v>5</v>
      </c>
      <c r="Q4">
        <v>10</v>
      </c>
    </row>
    <row r="5" spans="1:17" x14ac:dyDescent="0.3">
      <c r="A5">
        <v>100</v>
      </c>
      <c r="B5">
        <v>100</v>
      </c>
      <c r="C5">
        <v>0.95174499999999995</v>
      </c>
      <c r="D5" t="b">
        <f>TRUE()</f>
        <v>1</v>
      </c>
      <c r="E5">
        <v>6</v>
      </c>
      <c r="F5">
        <v>15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5.5806270774790597E-5</v>
      </c>
      <c r="M5">
        <v>5.7205727854226202E-5</v>
      </c>
      <c r="N5">
        <v>1.5310958595750001E-4</v>
      </c>
      <c r="O5">
        <v>1.66683647267443E-4</v>
      </c>
      <c r="P5" t="s">
        <v>5</v>
      </c>
      <c r="Q5">
        <v>15</v>
      </c>
    </row>
    <row r="6" spans="1:17" x14ac:dyDescent="0.3">
      <c r="A6">
        <v>100</v>
      </c>
      <c r="B6">
        <v>100</v>
      </c>
      <c r="C6">
        <v>0.95174499999999995</v>
      </c>
      <c r="D6" t="b">
        <f>TRUE()</f>
        <v>1</v>
      </c>
      <c r="E6">
        <v>6</v>
      </c>
      <c r="F6">
        <v>20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5.5806855302755602E-5</v>
      </c>
      <c r="M6">
        <v>5.7206187039581598E-5</v>
      </c>
      <c r="N6">
        <v>1.53110823941842E-4</v>
      </c>
      <c r="O6">
        <v>1.6668495834815201E-4</v>
      </c>
      <c r="P6" t="s">
        <v>5</v>
      </c>
      <c r="Q6">
        <v>20</v>
      </c>
    </row>
    <row r="7" spans="1:17" x14ac:dyDescent="0.3">
      <c r="A7">
        <v>100</v>
      </c>
      <c r="B7">
        <v>100</v>
      </c>
      <c r="C7">
        <v>0.95174499999999995</v>
      </c>
      <c r="D7" t="b">
        <f>TRUE()</f>
        <v>1</v>
      </c>
      <c r="E7">
        <v>6</v>
      </c>
      <c r="F7">
        <v>25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5.5805833245195002E-5</v>
      </c>
      <c r="M7">
        <v>5.7205386135452699E-5</v>
      </c>
      <c r="N7">
        <v>1.5310860277776699E-4</v>
      </c>
      <c r="O7">
        <v>1.6668266901959401E-4</v>
      </c>
      <c r="P7" t="s">
        <v>5</v>
      </c>
      <c r="Q7">
        <v>25</v>
      </c>
    </row>
    <row r="8" spans="1:17" x14ac:dyDescent="0.3">
      <c r="A8">
        <v>100</v>
      </c>
      <c r="B8">
        <v>100</v>
      </c>
      <c r="C8">
        <v>0.95174499999999995</v>
      </c>
      <c r="D8" t="b">
        <f>TRUE()</f>
        <v>1</v>
      </c>
      <c r="E8">
        <v>6</v>
      </c>
      <c r="F8">
        <v>40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5.5806114665891502E-5</v>
      </c>
      <c r="M8">
        <v>5.7205594361824201E-5</v>
      </c>
      <c r="N8">
        <v>1.5310913435796899E-4</v>
      </c>
      <c r="O8">
        <v>1.6668326311466001E-4</v>
      </c>
      <c r="P8" t="s">
        <v>5</v>
      </c>
      <c r="Q8">
        <v>40</v>
      </c>
    </row>
    <row r="9" spans="1:17" x14ac:dyDescent="0.3">
      <c r="A9">
        <v>100</v>
      </c>
      <c r="B9">
        <v>100</v>
      </c>
      <c r="C9">
        <v>0.95174499999999995</v>
      </c>
      <c r="D9" t="b">
        <f>TRUE()</f>
        <v>1</v>
      </c>
      <c r="E9">
        <v>6</v>
      </c>
      <c r="F9">
        <v>50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5.5806240327530501E-5</v>
      </c>
      <c r="M9">
        <v>5.7205670580509299E-5</v>
      </c>
      <c r="N9">
        <v>1.5310940973451499E-4</v>
      </c>
      <c r="O9">
        <v>1.6668348002987101E-4</v>
      </c>
      <c r="P9" t="s">
        <v>5</v>
      </c>
      <c r="Q9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0.95174499999999995</v>
      </c>
      <c r="D2" t="b">
        <f>TRUE()</f>
        <v>1</v>
      </c>
      <c r="E2">
        <v>6</v>
      </c>
      <c r="F2">
        <v>3</v>
      </c>
      <c r="G2" t="s">
        <v>17</v>
      </c>
      <c r="H2" t="s">
        <v>22</v>
      </c>
      <c r="I2" t="s">
        <v>19</v>
      </c>
      <c r="J2" t="b">
        <f>FALSE()</f>
        <v>0</v>
      </c>
      <c r="K2" t="b">
        <f>TRUE()</f>
        <v>1</v>
      </c>
      <c r="L2">
        <v>1.02369022557341E-4</v>
      </c>
      <c r="M2">
        <v>9.78924299473423E-5</v>
      </c>
      <c r="N2">
        <v>1.60580202287623E-4</v>
      </c>
      <c r="O2">
        <v>1.69436844569286E-4</v>
      </c>
      <c r="P2" t="s">
        <v>23</v>
      </c>
      <c r="Q2" t="s">
        <v>22</v>
      </c>
    </row>
    <row r="3" spans="1:17" x14ac:dyDescent="0.3">
      <c r="A3">
        <v>100</v>
      </c>
      <c r="B3">
        <v>100</v>
      </c>
      <c r="C3">
        <v>0.95174499999999995</v>
      </c>
      <c r="D3" t="b">
        <f>TRUE()</f>
        <v>1</v>
      </c>
      <c r="E3">
        <v>6</v>
      </c>
      <c r="F3">
        <v>3</v>
      </c>
      <c r="G3" t="s">
        <v>17</v>
      </c>
      <c r="H3" t="s">
        <v>24</v>
      </c>
      <c r="I3" t="s">
        <v>19</v>
      </c>
      <c r="J3" t="b">
        <f>FALSE()</f>
        <v>0</v>
      </c>
      <c r="K3" t="b">
        <f>TRUE()</f>
        <v>1</v>
      </c>
      <c r="L3">
        <v>1.35127196546193E-4</v>
      </c>
      <c r="M3">
        <v>1.3073902802984699E-4</v>
      </c>
      <c r="N3">
        <v>1.70234858064829E-4</v>
      </c>
      <c r="O3">
        <v>1.7516730767001601E-4</v>
      </c>
      <c r="P3" t="s">
        <v>23</v>
      </c>
      <c r="Q3" t="s">
        <v>24</v>
      </c>
    </row>
    <row r="4" spans="1:17" x14ac:dyDescent="0.3">
      <c r="A4">
        <v>100</v>
      </c>
      <c r="B4">
        <v>100</v>
      </c>
      <c r="C4">
        <v>0.95174499999999995</v>
      </c>
      <c r="D4" t="b">
        <f>TRUE()</f>
        <v>1</v>
      </c>
      <c r="E4">
        <v>6</v>
      </c>
      <c r="F4">
        <v>3</v>
      </c>
      <c r="G4" t="s">
        <v>17</v>
      </c>
      <c r="H4" t="s">
        <v>25</v>
      </c>
      <c r="I4" t="s">
        <v>19</v>
      </c>
      <c r="J4" t="b">
        <f>FALSE()</f>
        <v>0</v>
      </c>
      <c r="K4" t="b">
        <f>TRUE()</f>
        <v>1</v>
      </c>
      <c r="L4">
        <v>1.8860120824632301E-4</v>
      </c>
      <c r="M4">
        <v>1.88601056178849E-4</v>
      </c>
      <c r="N4">
        <v>1.8856580622240499E-4</v>
      </c>
      <c r="O4">
        <v>1.8856549252607799E-4</v>
      </c>
      <c r="P4" t="s">
        <v>23</v>
      </c>
      <c r="Q4" t="s">
        <v>25</v>
      </c>
    </row>
    <row r="5" spans="1:17" x14ac:dyDescent="0.3">
      <c r="A5">
        <v>100</v>
      </c>
      <c r="B5">
        <v>100</v>
      </c>
      <c r="C5">
        <v>0.95174499999999995</v>
      </c>
      <c r="D5" t="b">
        <f>TRUE()</f>
        <v>1</v>
      </c>
      <c r="E5">
        <v>6</v>
      </c>
      <c r="F5">
        <v>3</v>
      </c>
      <c r="G5" t="s">
        <v>17</v>
      </c>
      <c r="H5" t="s">
        <v>26</v>
      </c>
      <c r="I5" t="s">
        <v>19</v>
      </c>
      <c r="J5" t="b">
        <f>FALSE()</f>
        <v>0</v>
      </c>
      <c r="K5" t="b">
        <f>TRUE()</f>
        <v>1</v>
      </c>
      <c r="L5">
        <v>1.7648326629044901E-4</v>
      </c>
      <c r="M5">
        <v>1.7496085251192899E-4</v>
      </c>
      <c r="N5">
        <v>1.8425754590322801E-4</v>
      </c>
      <c r="O5">
        <v>1.8518780159581299E-4</v>
      </c>
      <c r="P5" t="s">
        <v>23</v>
      </c>
      <c r="Q5" t="s">
        <v>26</v>
      </c>
    </row>
    <row r="6" spans="1:17" x14ac:dyDescent="0.3">
      <c r="A6">
        <v>100</v>
      </c>
      <c r="B6">
        <v>100</v>
      </c>
      <c r="C6">
        <v>0.95174499999999995</v>
      </c>
      <c r="D6" t="b">
        <f>TRUE()</f>
        <v>1</v>
      </c>
      <c r="E6">
        <v>6</v>
      </c>
      <c r="F6">
        <v>3</v>
      </c>
      <c r="G6" t="s">
        <v>17</v>
      </c>
      <c r="H6" t="s">
        <v>27</v>
      </c>
      <c r="I6" t="s">
        <v>19</v>
      </c>
      <c r="J6" t="b">
        <f>FALSE()</f>
        <v>0</v>
      </c>
      <c r="K6" t="b">
        <f>TRUE()</f>
        <v>1</v>
      </c>
      <c r="L6">
        <v>1.02366921714331E-4</v>
      </c>
      <c r="M6">
        <v>9.7890788031538501E-5</v>
      </c>
      <c r="N6">
        <v>1.60577428318936E-4</v>
      </c>
      <c r="O6">
        <v>1.6943422430265701E-4</v>
      </c>
      <c r="P6" t="s">
        <v>23</v>
      </c>
      <c r="Q6" t="s">
        <v>27</v>
      </c>
    </row>
    <row r="7" spans="1:17" x14ac:dyDescent="0.3">
      <c r="A7">
        <v>100</v>
      </c>
      <c r="B7">
        <v>100</v>
      </c>
      <c r="C7">
        <v>0.95174499999999995</v>
      </c>
      <c r="D7" t="b">
        <f>TRUE()</f>
        <v>1</v>
      </c>
      <c r="E7">
        <v>6</v>
      </c>
      <c r="F7">
        <v>3</v>
      </c>
      <c r="G7" t="s">
        <v>17</v>
      </c>
      <c r="H7" t="s">
        <v>28</v>
      </c>
      <c r="I7" t="s">
        <v>19</v>
      </c>
      <c r="J7" t="b">
        <f>FALSE()</f>
        <v>0</v>
      </c>
      <c r="K7" t="b">
        <f>TRUE()</f>
        <v>1</v>
      </c>
      <c r="L7">
        <v>7.8882072871593696E-5</v>
      </c>
      <c r="M7">
        <v>7.6103159426363698E-5</v>
      </c>
      <c r="N7">
        <v>1.5528827502258699E-4</v>
      </c>
      <c r="O7">
        <v>1.6694237814000201E-4</v>
      </c>
      <c r="P7" t="s">
        <v>23</v>
      </c>
      <c r="Q7" t="s">
        <v>28</v>
      </c>
    </row>
    <row r="8" spans="1:17" x14ac:dyDescent="0.3">
      <c r="A8">
        <v>100</v>
      </c>
      <c r="B8">
        <v>100</v>
      </c>
      <c r="C8">
        <v>0.95174499999999995</v>
      </c>
      <c r="D8" t="b">
        <f>TRUE()</f>
        <v>1</v>
      </c>
      <c r="E8">
        <v>6</v>
      </c>
      <c r="F8">
        <v>3</v>
      </c>
      <c r="G8" t="s">
        <v>17</v>
      </c>
      <c r="H8" t="s">
        <v>29</v>
      </c>
      <c r="I8" t="s">
        <v>19</v>
      </c>
      <c r="J8" t="b">
        <f>FALSE()</f>
        <v>0</v>
      </c>
      <c r="K8" t="b">
        <f>TRUE()</f>
        <v>1</v>
      </c>
      <c r="L8">
        <v>5.8720256862191998E-5</v>
      </c>
      <c r="M8">
        <v>5.9683144895429501E-5</v>
      </c>
      <c r="N8">
        <v>1.5295703882286499E-4</v>
      </c>
      <c r="O8">
        <v>1.6638524917962001E-4</v>
      </c>
      <c r="P8" t="s">
        <v>23</v>
      </c>
      <c r="Q8" t="s">
        <v>29</v>
      </c>
    </row>
    <row r="9" spans="1:17" x14ac:dyDescent="0.3">
      <c r="A9">
        <v>100</v>
      </c>
      <c r="B9">
        <v>100</v>
      </c>
      <c r="C9">
        <v>0.95174499999999995</v>
      </c>
      <c r="D9" t="b">
        <f>TRUE()</f>
        <v>1</v>
      </c>
      <c r="E9">
        <v>6</v>
      </c>
      <c r="F9">
        <v>3</v>
      </c>
      <c r="G9" t="s">
        <v>17</v>
      </c>
      <c r="H9" t="s">
        <v>30</v>
      </c>
      <c r="I9" t="s">
        <v>19</v>
      </c>
      <c r="J9" t="b">
        <f>FALSE()</f>
        <v>0</v>
      </c>
      <c r="K9" t="b">
        <f>TRUE()</f>
        <v>1</v>
      </c>
      <c r="L9">
        <v>5.6981481475314901E-5</v>
      </c>
      <c r="M9">
        <v>5.8285374167841799E-5</v>
      </c>
      <c r="N9">
        <v>1.5297759996824801E-4</v>
      </c>
      <c r="O9">
        <v>1.6650216397402101E-4</v>
      </c>
      <c r="P9" t="s">
        <v>23</v>
      </c>
      <c r="Q9" t="s">
        <v>30</v>
      </c>
    </row>
    <row r="10" spans="1:17" x14ac:dyDescent="0.3">
      <c r="A10">
        <v>100</v>
      </c>
      <c r="B10">
        <v>100</v>
      </c>
      <c r="C10">
        <v>0.95174499999999995</v>
      </c>
      <c r="D10" t="b">
        <f>TRUE()</f>
        <v>1</v>
      </c>
      <c r="E10">
        <v>6</v>
      </c>
      <c r="F10">
        <v>3</v>
      </c>
      <c r="G10" t="s">
        <v>17</v>
      </c>
      <c r="H10" t="s">
        <v>31</v>
      </c>
      <c r="I10" t="s">
        <v>19</v>
      </c>
      <c r="J10" t="b">
        <f>FALSE()</f>
        <v>0</v>
      </c>
      <c r="K10" t="b">
        <f>TRUE()</f>
        <v>1</v>
      </c>
      <c r="L10">
        <v>5.5977460445851297E-5</v>
      </c>
      <c r="M10">
        <v>5.7377608527514602E-5</v>
      </c>
      <c r="N10">
        <v>1.5307829131522399E-4</v>
      </c>
      <c r="O10">
        <v>1.6663853384142E-4</v>
      </c>
      <c r="P10" t="s">
        <v>23</v>
      </c>
      <c r="Q10" t="s">
        <v>31</v>
      </c>
    </row>
    <row r="11" spans="1:17" x14ac:dyDescent="0.3">
      <c r="A11">
        <v>100</v>
      </c>
      <c r="B11">
        <v>100</v>
      </c>
      <c r="C11">
        <v>0.95174499999999995</v>
      </c>
      <c r="D11" t="b">
        <f>TRUE()</f>
        <v>1</v>
      </c>
      <c r="E11">
        <v>6</v>
      </c>
      <c r="F11">
        <v>3</v>
      </c>
      <c r="G11" t="s">
        <v>17</v>
      </c>
      <c r="H11" t="s">
        <v>32</v>
      </c>
      <c r="I11" t="s">
        <v>19</v>
      </c>
      <c r="J11" t="b">
        <f>FALSE()</f>
        <v>0</v>
      </c>
      <c r="K11" t="b">
        <f>TRUE()</f>
        <v>1</v>
      </c>
      <c r="L11">
        <v>5.5880257993481302E-5</v>
      </c>
      <c r="M11">
        <v>5.7279020767653898E-5</v>
      </c>
      <c r="N11">
        <v>1.5309078256475501E-4</v>
      </c>
      <c r="O11">
        <v>1.66658459836664E-4</v>
      </c>
      <c r="P11" t="s">
        <v>23</v>
      </c>
      <c r="Q11" t="s">
        <v>32</v>
      </c>
    </row>
    <row r="12" spans="1:17" x14ac:dyDescent="0.3">
      <c r="A12">
        <v>100</v>
      </c>
      <c r="B12">
        <v>100</v>
      </c>
      <c r="C12">
        <v>0.95174499999999995</v>
      </c>
      <c r="D12" t="b">
        <f>TRUE()</f>
        <v>1</v>
      </c>
      <c r="E12">
        <v>6</v>
      </c>
      <c r="F12">
        <v>3</v>
      </c>
      <c r="G12" t="s">
        <v>17</v>
      </c>
      <c r="H12" t="s">
        <v>33</v>
      </c>
      <c r="I12" t="s">
        <v>19</v>
      </c>
      <c r="J12" t="b">
        <f>FALSE()</f>
        <v>0</v>
      </c>
      <c r="K12" t="b">
        <f>TRUE()</f>
        <v>1</v>
      </c>
      <c r="L12">
        <v>5.5802407167419801E-5</v>
      </c>
      <c r="M12">
        <v>5.7202680210058701E-5</v>
      </c>
      <c r="N12">
        <v>1.5310075961356501E-4</v>
      </c>
      <c r="O12">
        <v>1.666748792264E-4</v>
      </c>
      <c r="P12" t="s">
        <v>23</v>
      </c>
      <c r="Q12" t="s">
        <v>33</v>
      </c>
    </row>
    <row r="13" spans="1:17" x14ac:dyDescent="0.3">
      <c r="A13">
        <v>100</v>
      </c>
      <c r="B13">
        <v>100</v>
      </c>
      <c r="C13">
        <v>0.95174499999999995</v>
      </c>
      <c r="D13" t="b">
        <f>TRUE()</f>
        <v>1</v>
      </c>
      <c r="E13">
        <v>6</v>
      </c>
      <c r="F13">
        <v>3</v>
      </c>
      <c r="G13" t="s">
        <v>17</v>
      </c>
      <c r="H13" t="s">
        <v>34</v>
      </c>
      <c r="I13" t="s">
        <v>19</v>
      </c>
      <c r="J13" t="b">
        <f>FALSE()</f>
        <v>0</v>
      </c>
      <c r="K13" t="b">
        <f>TRUE()</f>
        <v>1</v>
      </c>
      <c r="L13">
        <v>5.5793233617183899E-5</v>
      </c>
      <c r="M13">
        <v>5.7193297446086797E-5</v>
      </c>
      <c r="N13">
        <v>1.53102395334666E-4</v>
      </c>
      <c r="O13">
        <v>1.66676961436084E-4</v>
      </c>
      <c r="P13" t="s">
        <v>23</v>
      </c>
      <c r="Q13" t="s">
        <v>34</v>
      </c>
    </row>
    <row r="14" spans="1:17" x14ac:dyDescent="0.3">
      <c r="A14">
        <v>100</v>
      </c>
      <c r="B14">
        <v>100</v>
      </c>
      <c r="C14">
        <v>0.95174499999999995</v>
      </c>
      <c r="D14" t="b">
        <f>TRUE()</f>
        <v>1</v>
      </c>
      <c r="E14">
        <v>6</v>
      </c>
      <c r="F14">
        <v>3</v>
      </c>
      <c r="G14" t="s">
        <v>17</v>
      </c>
      <c r="H14" t="s">
        <v>35</v>
      </c>
      <c r="I14" t="s">
        <v>19</v>
      </c>
      <c r="J14" t="b">
        <f>FALSE()</f>
        <v>0</v>
      </c>
      <c r="K14" t="b">
        <f>TRUE()</f>
        <v>1</v>
      </c>
      <c r="L14">
        <v>5.5787001539760201E-5</v>
      </c>
      <c r="M14">
        <v>5.7185817059313398E-5</v>
      </c>
      <c r="N14">
        <v>1.5310446090456301E-4</v>
      </c>
      <c r="O14">
        <v>1.6667863228671999E-4</v>
      </c>
      <c r="P14" t="s">
        <v>23</v>
      </c>
      <c r="Q14" t="s">
        <v>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0.95174499999999995</v>
      </c>
      <c r="D2" t="b">
        <f>TRUE()</f>
        <v>1</v>
      </c>
      <c r="E2">
        <v>6</v>
      </c>
      <c r="F2">
        <v>3</v>
      </c>
      <c r="G2" t="s">
        <v>17</v>
      </c>
      <c r="H2" t="s">
        <v>18</v>
      </c>
      <c r="I2" t="s">
        <v>36</v>
      </c>
      <c r="J2" t="b">
        <f>FALSE()</f>
        <v>0</v>
      </c>
      <c r="K2" t="b">
        <f>TRUE()</f>
        <v>1</v>
      </c>
      <c r="L2">
        <v>5.5803324961466503E-5</v>
      </c>
      <c r="M2">
        <v>5.7203555102959998E-5</v>
      </c>
      <c r="N2">
        <v>1.5310306298731599E-4</v>
      </c>
      <c r="O2">
        <v>1.6667742258712599E-4</v>
      </c>
      <c r="P2" t="s">
        <v>37</v>
      </c>
      <c r="Q2" t="s">
        <v>36</v>
      </c>
    </row>
    <row r="3" spans="1:17" x14ac:dyDescent="0.3">
      <c r="A3">
        <v>100</v>
      </c>
      <c r="B3">
        <v>100</v>
      </c>
      <c r="C3">
        <v>0.95174499999999995</v>
      </c>
      <c r="D3" t="b">
        <f>TRUE()</f>
        <v>1</v>
      </c>
      <c r="E3">
        <v>6</v>
      </c>
      <c r="F3">
        <v>3</v>
      </c>
      <c r="G3" t="s">
        <v>17</v>
      </c>
      <c r="H3" t="s">
        <v>18</v>
      </c>
      <c r="I3" t="s">
        <v>38</v>
      </c>
      <c r="J3" t="b">
        <f>FALSE()</f>
        <v>0</v>
      </c>
      <c r="K3" t="b">
        <f>TRUE()</f>
        <v>1</v>
      </c>
      <c r="L3">
        <v>1.27392089710173E-2</v>
      </c>
      <c r="M3">
        <v>5.3311346273812801E-3</v>
      </c>
      <c r="N3">
        <v>2.0345782721361099E-2</v>
      </c>
      <c r="O3">
        <v>1.7163498233551101E-2</v>
      </c>
      <c r="P3" t="s">
        <v>37</v>
      </c>
      <c r="Q3" t="s">
        <v>38</v>
      </c>
    </row>
    <row r="4" spans="1:17" x14ac:dyDescent="0.3">
      <c r="A4">
        <v>100</v>
      </c>
      <c r="B4">
        <v>100</v>
      </c>
      <c r="C4">
        <v>0.95174499999999995</v>
      </c>
      <c r="D4" t="b">
        <f>TRUE()</f>
        <v>1</v>
      </c>
      <c r="E4">
        <v>6</v>
      </c>
      <c r="F4">
        <v>3</v>
      </c>
      <c r="G4" t="s">
        <v>17</v>
      </c>
      <c r="H4" t="s">
        <v>18</v>
      </c>
      <c r="I4" t="s">
        <v>39</v>
      </c>
      <c r="J4" t="b">
        <f>FALSE()</f>
        <v>0</v>
      </c>
      <c r="K4" t="b">
        <f>TRUE()</f>
        <v>1</v>
      </c>
      <c r="L4">
        <v>1.2657562263407101</v>
      </c>
      <c r="M4">
        <v>0.322729855606945</v>
      </c>
      <c r="N4">
        <v>2.15698204970633E-2</v>
      </c>
      <c r="O4">
        <v>1.7122285339681201E-2</v>
      </c>
      <c r="P4" t="s">
        <v>37</v>
      </c>
      <c r="Q4" t="s">
        <v>39</v>
      </c>
    </row>
    <row r="5" spans="1:17" x14ac:dyDescent="0.3">
      <c r="A5">
        <v>100</v>
      </c>
      <c r="B5">
        <v>100</v>
      </c>
      <c r="C5">
        <v>0.95174499999999995</v>
      </c>
      <c r="D5" t="b">
        <f>TRUE()</f>
        <v>1</v>
      </c>
      <c r="E5">
        <v>6</v>
      </c>
      <c r="F5">
        <v>3</v>
      </c>
      <c r="G5" t="s">
        <v>17</v>
      </c>
      <c r="H5" t="s">
        <v>18</v>
      </c>
      <c r="I5" t="s">
        <v>40</v>
      </c>
      <c r="J5" t="b">
        <f>FALSE()</f>
        <v>0</v>
      </c>
      <c r="K5" t="b">
        <f>TRUE()</f>
        <v>1</v>
      </c>
      <c r="L5">
        <v>0.14642894624105801</v>
      </c>
      <c r="M5">
        <v>4.97629975228615E-2</v>
      </c>
      <c r="N5">
        <v>2.0345781830763202E-2</v>
      </c>
      <c r="O5">
        <v>1.7191168415244599E-2</v>
      </c>
      <c r="P5" t="s">
        <v>37</v>
      </c>
      <c r="Q5" t="s">
        <v>40</v>
      </c>
    </row>
    <row r="6" spans="1:17" x14ac:dyDescent="0.3">
      <c r="A6">
        <v>100</v>
      </c>
      <c r="B6">
        <v>100</v>
      </c>
      <c r="C6">
        <v>0.95174499999999995</v>
      </c>
      <c r="D6" t="b">
        <f>TRUE()</f>
        <v>1</v>
      </c>
      <c r="E6">
        <v>6</v>
      </c>
      <c r="F6">
        <v>3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5.5802407167419801E-5</v>
      </c>
      <c r="M6">
        <v>5.7202680210058701E-5</v>
      </c>
      <c r="N6">
        <v>1.5310075961356501E-4</v>
      </c>
      <c r="O6">
        <v>1.666748792264E-4</v>
      </c>
      <c r="P6" t="s">
        <v>37</v>
      </c>
      <c r="Q6" t="s">
        <v>19</v>
      </c>
    </row>
    <row r="7" spans="1:17" x14ac:dyDescent="0.3">
      <c r="A7">
        <v>100</v>
      </c>
      <c r="B7">
        <v>100</v>
      </c>
      <c r="C7">
        <v>0.95174499999999995</v>
      </c>
      <c r="D7" t="b">
        <f>TRUE()</f>
        <v>1</v>
      </c>
      <c r="E7">
        <v>6</v>
      </c>
      <c r="F7">
        <v>3</v>
      </c>
      <c r="G7" t="s">
        <v>17</v>
      </c>
      <c r="H7" t="s">
        <v>18</v>
      </c>
      <c r="I7" t="s">
        <v>41</v>
      </c>
      <c r="J7" t="b">
        <f>FALSE()</f>
        <v>0</v>
      </c>
      <c r="K7" t="b">
        <f>TRUE()</f>
        <v>1</v>
      </c>
      <c r="L7">
        <v>0.14174166348751799</v>
      </c>
      <c r="M7">
        <v>3.5653919688127603E-2</v>
      </c>
      <c r="N7">
        <v>2.5618312940577599E-2</v>
      </c>
      <c r="O7">
        <v>2.4527308274615099E-2</v>
      </c>
      <c r="P7" t="s">
        <v>37</v>
      </c>
      <c r="Q7" t="s">
        <v>41</v>
      </c>
    </row>
    <row r="8" spans="1:17" x14ac:dyDescent="0.3">
      <c r="A8">
        <v>100</v>
      </c>
      <c r="B8">
        <v>100</v>
      </c>
      <c r="C8">
        <v>0.95174499999999995</v>
      </c>
      <c r="D8" t="b">
        <f>TRUE()</f>
        <v>1</v>
      </c>
      <c r="E8">
        <v>6</v>
      </c>
      <c r="F8">
        <v>3</v>
      </c>
      <c r="G8" t="s">
        <v>17</v>
      </c>
      <c r="H8" t="s">
        <v>18</v>
      </c>
      <c r="I8" t="s">
        <v>42</v>
      </c>
      <c r="J8" t="b">
        <f>FALSE()</f>
        <v>0</v>
      </c>
      <c r="K8" t="b">
        <f>TRUE()</f>
        <v>1</v>
      </c>
      <c r="L8">
        <v>6.04100080001235E-2</v>
      </c>
      <c r="M8">
        <v>3.3454017204872698E-2</v>
      </c>
      <c r="N8">
        <v>2.56964124837076E-2</v>
      </c>
      <c r="O8">
        <v>2.4866548324841899E-2</v>
      </c>
      <c r="P8" t="s">
        <v>37</v>
      </c>
      <c r="Q8" t="s">
        <v>42</v>
      </c>
    </row>
    <row r="9" spans="1:17" x14ac:dyDescent="0.3">
      <c r="A9">
        <v>100</v>
      </c>
      <c r="B9">
        <v>100</v>
      </c>
      <c r="C9">
        <v>0.95174499999999995</v>
      </c>
      <c r="D9" t="b">
        <f>TRUE()</f>
        <v>1</v>
      </c>
      <c r="E9">
        <v>6</v>
      </c>
      <c r="F9">
        <v>3</v>
      </c>
      <c r="G9" t="s">
        <v>17</v>
      </c>
      <c r="H9" t="s">
        <v>18</v>
      </c>
      <c r="I9" t="s">
        <v>43</v>
      </c>
      <c r="J9" t="b">
        <f>FALSE()</f>
        <v>0</v>
      </c>
      <c r="K9" t="b">
        <f>TRUE()</f>
        <v>1</v>
      </c>
      <c r="L9">
        <v>2.8398014946802101E-2</v>
      </c>
      <c r="M9">
        <v>8.4643175490863396E-3</v>
      </c>
      <c r="N9">
        <v>2.56293512266174E-2</v>
      </c>
      <c r="O9">
        <v>2.4487584424664501E-2</v>
      </c>
      <c r="P9" t="s">
        <v>37</v>
      </c>
      <c r="Q9" t="s">
        <v>43</v>
      </c>
    </row>
    <row r="10" spans="1:17" x14ac:dyDescent="0.3">
      <c r="A10">
        <v>100</v>
      </c>
      <c r="B10">
        <v>100</v>
      </c>
      <c r="C10">
        <v>0.95174499999999995</v>
      </c>
      <c r="D10" t="b">
        <f>TRUE()</f>
        <v>1</v>
      </c>
      <c r="E10">
        <v>6</v>
      </c>
      <c r="F10">
        <v>3</v>
      </c>
      <c r="G10" t="s">
        <v>17</v>
      </c>
      <c r="H10" t="s">
        <v>18</v>
      </c>
      <c r="I10" t="s">
        <v>44</v>
      </c>
      <c r="J10" t="b">
        <f>FALSE()</f>
        <v>0</v>
      </c>
      <c r="K10" t="b">
        <f>TRUE()</f>
        <v>1</v>
      </c>
      <c r="L10">
        <v>5.5803324961433299E-5</v>
      </c>
      <c r="M10">
        <v>5.7203555102920899E-5</v>
      </c>
      <c r="N10">
        <v>1.5310306298702101E-4</v>
      </c>
      <c r="O10">
        <v>1.66677422587006E-4</v>
      </c>
      <c r="P10" t="s">
        <v>37</v>
      </c>
      <c r="Q10" t="s">
        <v>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 Size</vt:lpstr>
      <vt:lpstr>Length Scale</vt:lpstr>
      <vt:lpstr>Stencil Nodes</vt:lpstr>
      <vt:lpstr>Center</vt:lpstr>
      <vt:lpstr>Eigenvalue Ratio</vt:lpstr>
      <vt:lpstr>Eigenvector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Dennis Corraliza</cp:lastModifiedBy>
  <cp:revision>1</cp:revision>
  <dcterms:created xsi:type="dcterms:W3CDTF">2026-10-02T03:41:48Z</dcterms:created>
  <dcterms:modified xsi:type="dcterms:W3CDTF">2026-10-02T04:17:08Z</dcterms:modified>
  <dc:language>en-US</dc:language>
</cp:coreProperties>
</file>