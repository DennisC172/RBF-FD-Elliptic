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c858\Documents\Projects\RBF-FD-Elliptic\Results\"/>
    </mc:Choice>
  </mc:AlternateContent>
  <xr:revisionPtr revIDLastSave="0" documentId="13_ncr:1_{1AB34299-00FF-4E11-B5E7-286F1FCD7A33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Grid Size" sheetId="1" r:id="rId1"/>
    <sheet name="Length Scale" sheetId="3" r:id="rId2"/>
    <sheet name="Stencil No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7" i="2"/>
  <c r="G18" i="2" s="1"/>
  <c r="G16" i="2"/>
</calcChain>
</file>

<file path=xl/sharedStrings.xml><?xml version="1.0" encoding="utf-8"?>
<sst xmlns="http://schemas.openxmlformats.org/spreadsheetml/2006/main" count="86" uniqueCount="19">
  <si>
    <t>Nx</t>
  </si>
  <si>
    <t>Ny</t>
  </si>
  <si>
    <t>eps</t>
  </si>
  <si>
    <t>num_stencil_nodes</t>
  </si>
  <si>
    <t>num_rings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</si>
  <si>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</si>
  <si>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</si>
  <si>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</si>
  <si>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</si>
  <si>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</si>
  <si>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</si>
  <si>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</si>
  <si>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energy_error_rel</t>
  </si>
  <si>
    <t>Lu_exact - F max_residual_rel</t>
  </si>
  <si>
    <t>Lu_exact - F l2_residual_rel</t>
  </si>
  <si>
    <t>varied_param</t>
  </si>
  <si>
    <t>varied_value</t>
  </si>
  <si>
    <t>N_int</t>
  </si>
  <si>
    <t>Inverse Length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</si>
</sst>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3</v>
      </c>
      <c r="D2">
        <v>100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249.7677101389022</v>
      </c>
      <c r="L2">
        <v>218.67445269641129</v>
      </c>
      <c r="M2">
        <v>581.93933259248092</v>
      </c>
      <c r="N2">
        <v>2675.118375688412</v>
      </c>
      <c r="O2">
        <v>426.32935228951851</v>
      </c>
      <c r="P2" t="s">
        <v>17</v>
      </c>
      <c r="Q2">
        <v>20</v>
      </c>
    </row>
    <row r="3" spans="1:17" x14ac:dyDescent="0.3">
      <c r="A3">
        <v>30</v>
      </c>
      <c r="B3">
        <v>30</v>
      </c>
      <c r="C3">
        <v>3</v>
      </c>
      <c r="D3">
        <v>100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7.8590820400012431</v>
      </c>
      <c r="L3">
        <v>5.5417021135548943</v>
      </c>
      <c r="M3">
        <v>36.148358996476283</v>
      </c>
      <c r="N3">
        <v>20.582017117667821</v>
      </c>
      <c r="O3">
        <v>4.5541581264846211</v>
      </c>
      <c r="P3" t="s">
        <v>17</v>
      </c>
      <c r="Q3">
        <v>30</v>
      </c>
    </row>
    <row r="4" spans="1:17" x14ac:dyDescent="0.3">
      <c r="A4">
        <v>50</v>
      </c>
      <c r="B4">
        <v>50</v>
      </c>
      <c r="C4">
        <v>3</v>
      </c>
      <c r="D4">
        <v>100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2.6106725737856791</v>
      </c>
      <c r="L4">
        <v>1.7430832661890041</v>
      </c>
      <c r="M4">
        <v>8.5103202539372358</v>
      </c>
      <c r="N4">
        <v>2.3280918315342212</v>
      </c>
      <c r="O4">
        <v>0.72653705050564643</v>
      </c>
      <c r="P4" t="s">
        <v>17</v>
      </c>
      <c r="Q4">
        <v>50</v>
      </c>
    </row>
    <row r="5" spans="1:17" x14ac:dyDescent="0.3">
      <c r="A5">
        <v>75</v>
      </c>
      <c r="B5">
        <v>75</v>
      </c>
      <c r="C5">
        <v>3</v>
      </c>
      <c r="D5">
        <v>100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0.73251096391740056</v>
      </c>
      <c r="L5">
        <v>0.59315400847577315</v>
      </c>
      <c r="M5">
        <v>4.5313097613623574</v>
      </c>
      <c r="N5">
        <v>3.849720419675196</v>
      </c>
      <c r="O5">
        <v>0.65664830021381193</v>
      </c>
      <c r="P5" t="s">
        <v>17</v>
      </c>
      <c r="Q5">
        <v>75</v>
      </c>
    </row>
    <row r="6" spans="1:17" x14ac:dyDescent="0.3">
      <c r="A6">
        <v>100</v>
      </c>
      <c r="B6">
        <v>100</v>
      </c>
      <c r="C6">
        <v>3</v>
      </c>
      <c r="D6">
        <v>100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1.245566295641344</v>
      </c>
      <c r="L6">
        <v>1.0859134278485381</v>
      </c>
      <c r="M6">
        <v>7.8636765598481118</v>
      </c>
      <c r="N6">
        <v>6.5520651860754189</v>
      </c>
      <c r="O6">
        <v>0.85472565526224553</v>
      </c>
      <c r="P6" t="s">
        <v>17</v>
      </c>
      <c r="Q6">
        <v>100</v>
      </c>
    </row>
    <row r="7" spans="1:17" x14ac:dyDescent="0.3">
      <c r="A7">
        <v>125</v>
      </c>
      <c r="B7">
        <v>125</v>
      </c>
      <c r="C7">
        <v>3</v>
      </c>
      <c r="D7">
        <v>100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8.1896616515723622E-2</v>
      </c>
      <c r="L7">
        <v>7.1713445404625431E-2</v>
      </c>
      <c r="M7">
        <v>0.47483736715992569</v>
      </c>
      <c r="N7">
        <v>5.3039486533654792</v>
      </c>
      <c r="O7">
        <v>0.45183099955748468</v>
      </c>
      <c r="P7" t="s">
        <v>17</v>
      </c>
      <c r="Q7">
        <v>125</v>
      </c>
    </row>
    <row r="8" spans="1:17" x14ac:dyDescent="0.3">
      <c r="A8">
        <v>150</v>
      </c>
      <c r="B8">
        <v>150</v>
      </c>
      <c r="C8">
        <v>3</v>
      </c>
      <c r="D8">
        <v>100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1.257779414632674</v>
      </c>
      <c r="L8">
        <v>0.75160278871473973</v>
      </c>
      <c r="M8">
        <v>3.024925051592426</v>
      </c>
      <c r="N8">
        <v>2.1996700146820261</v>
      </c>
      <c r="O8">
        <v>0.28041808665480328</v>
      </c>
      <c r="P8" t="s">
        <v>17</v>
      </c>
      <c r="Q8">
        <v>150</v>
      </c>
    </row>
    <row r="9" spans="1:17" x14ac:dyDescent="0.3">
      <c r="A9">
        <v>175</v>
      </c>
      <c r="B9">
        <v>175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1.07600425077983</v>
      </c>
      <c r="L9">
        <v>0.58069725435928432</v>
      </c>
      <c r="M9">
        <v>2.1463643809047861</v>
      </c>
      <c r="N9">
        <v>1.1023987036393459</v>
      </c>
      <c r="O9">
        <v>0.14232300766870301</v>
      </c>
      <c r="P9" t="s">
        <v>17</v>
      </c>
      <c r="Q9">
        <v>175</v>
      </c>
    </row>
    <row r="10" spans="1:17" x14ac:dyDescent="0.3">
      <c r="A10">
        <v>200</v>
      </c>
      <c r="B10">
        <v>200</v>
      </c>
      <c r="C10">
        <v>3</v>
      </c>
      <c r="D10">
        <v>100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1.301296007993626</v>
      </c>
      <c r="L10">
        <v>0.93580015271870742</v>
      </c>
      <c r="M10">
        <v>4.0467304581011128</v>
      </c>
      <c r="N10">
        <v>4.9850209582484979</v>
      </c>
      <c r="O10">
        <v>0.33145613935631951</v>
      </c>
      <c r="P10" t="s">
        <v>17</v>
      </c>
      <c r="Q10">
        <v>200</v>
      </c>
    </row>
    <row r="11" spans="1:17" x14ac:dyDescent="0.3">
      <c r="A11">
        <v>250</v>
      </c>
      <c r="B11">
        <v>250</v>
      </c>
      <c r="C11">
        <v>3</v>
      </c>
      <c r="D11">
        <v>100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0.1327070371552416</v>
      </c>
      <c r="L11">
        <v>8.90098299805413E-2</v>
      </c>
      <c r="M11">
        <v>0.45470255285809769</v>
      </c>
      <c r="N11">
        <v>1.3727886329347161</v>
      </c>
      <c r="O11">
        <v>9.3834911045285102E-2</v>
      </c>
      <c r="P11" t="s">
        <v>17</v>
      </c>
      <c r="Q11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5C02-3CEB-4357-9750-C5AC6B8578DE}">
  <dimension ref="A1:Q14"/>
  <sheetViews>
    <sheetView tabSelected="1" workbookViewId="0">
      <selection sqref="A1:Q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0.05</v>
      </c>
      <c r="D2">
        <v>100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10958.469022612609</v>
      </c>
      <c r="L2">
        <v>8636.5962768315694</v>
      </c>
      <c r="M2">
        <v>11260.982608243219</v>
      </c>
      <c r="N2">
        <v>12.07208425881611</v>
      </c>
      <c r="O2">
        <v>2.2664711806831588</v>
      </c>
      <c r="P2" t="s">
        <v>18</v>
      </c>
      <c r="Q2">
        <v>0.05</v>
      </c>
    </row>
    <row r="3" spans="1:17" x14ac:dyDescent="0.3">
      <c r="A3">
        <v>100</v>
      </c>
      <c r="B3">
        <v>100</v>
      </c>
      <c r="C3">
        <v>0.1</v>
      </c>
      <c r="D3">
        <v>100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11141.26331908642</v>
      </c>
      <c r="L3">
        <v>8800.4657876099554</v>
      </c>
      <c r="M3">
        <v>11208.614197042831</v>
      </c>
      <c r="N3">
        <v>12.07164018720006</v>
      </c>
      <c r="O3">
        <v>2.2663425626077029</v>
      </c>
      <c r="P3" t="s">
        <v>18</v>
      </c>
      <c r="Q3">
        <v>0.1</v>
      </c>
    </row>
    <row r="4" spans="1:17" x14ac:dyDescent="0.3">
      <c r="A4">
        <v>100</v>
      </c>
      <c r="B4">
        <v>100</v>
      </c>
      <c r="C4">
        <v>0.5</v>
      </c>
      <c r="D4">
        <v>100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11.089647089411219</v>
      </c>
      <c r="L4">
        <v>8.5343282069245436</v>
      </c>
      <c r="M4">
        <v>28.163813338278569</v>
      </c>
      <c r="N4">
        <v>26.858509440454011</v>
      </c>
      <c r="O4">
        <v>3.2966983638595471</v>
      </c>
      <c r="P4" t="s">
        <v>18</v>
      </c>
      <c r="Q4">
        <v>0.5</v>
      </c>
    </row>
    <row r="5" spans="1:17" x14ac:dyDescent="0.3">
      <c r="A5">
        <v>100</v>
      </c>
      <c r="B5">
        <v>100</v>
      </c>
      <c r="C5">
        <v>1</v>
      </c>
      <c r="D5">
        <v>100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3.6083509666730751</v>
      </c>
      <c r="L5">
        <v>2.693974665201448</v>
      </c>
      <c r="M5">
        <v>8.169980251756666</v>
      </c>
      <c r="N5">
        <v>8.2719987226701548</v>
      </c>
      <c r="O5">
        <v>1.0033062827332251</v>
      </c>
      <c r="P5" t="s">
        <v>18</v>
      </c>
      <c r="Q5">
        <v>1</v>
      </c>
    </row>
    <row r="6" spans="1:17" x14ac:dyDescent="0.3">
      <c r="A6">
        <v>100</v>
      </c>
      <c r="B6">
        <v>100</v>
      </c>
      <c r="C6">
        <v>2</v>
      </c>
      <c r="D6">
        <v>100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41.453109979522637</v>
      </c>
      <c r="L6">
        <v>27.177857301964011</v>
      </c>
      <c r="M6">
        <v>79.760905028669214</v>
      </c>
      <c r="N6">
        <v>6.1292715269549234</v>
      </c>
      <c r="O6">
        <v>0.86126784050669802</v>
      </c>
      <c r="P6" t="s">
        <v>18</v>
      </c>
      <c r="Q6">
        <v>2</v>
      </c>
    </row>
    <row r="7" spans="1:17" x14ac:dyDescent="0.3">
      <c r="A7">
        <v>100</v>
      </c>
      <c r="B7">
        <v>100</v>
      </c>
      <c r="C7">
        <v>2.5</v>
      </c>
      <c r="D7">
        <v>100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2.1728280565307418</v>
      </c>
      <c r="L7">
        <v>1.6804444866887061</v>
      </c>
      <c r="M7">
        <v>10.848796092139739</v>
      </c>
      <c r="N7">
        <v>5.4076535630770666</v>
      </c>
      <c r="O7">
        <v>0.6647772618793294</v>
      </c>
      <c r="P7" t="s">
        <v>18</v>
      </c>
      <c r="Q7">
        <v>2.5</v>
      </c>
    </row>
    <row r="8" spans="1:17" x14ac:dyDescent="0.3">
      <c r="A8">
        <v>100</v>
      </c>
      <c r="B8">
        <v>100</v>
      </c>
      <c r="C8">
        <v>3</v>
      </c>
      <c r="D8">
        <v>100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1.245566295641344</v>
      </c>
      <c r="L8">
        <v>1.0859134278485381</v>
      </c>
      <c r="M8">
        <v>7.8636765598481118</v>
      </c>
      <c r="N8">
        <v>6.5520651860754189</v>
      </c>
      <c r="O8">
        <v>0.85472565526224553</v>
      </c>
      <c r="P8" t="s">
        <v>18</v>
      </c>
      <c r="Q8">
        <v>3</v>
      </c>
    </row>
    <row r="9" spans="1:17" x14ac:dyDescent="0.3">
      <c r="A9">
        <v>100</v>
      </c>
      <c r="B9">
        <v>100</v>
      </c>
      <c r="C9">
        <v>3.5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0.30332936048840742</v>
      </c>
      <c r="L9">
        <v>0.18786968965590051</v>
      </c>
      <c r="M9">
        <v>0.80688772990801938</v>
      </c>
      <c r="N9">
        <v>1.2016443034631199</v>
      </c>
      <c r="O9">
        <v>0.34042323074682612</v>
      </c>
      <c r="P9" t="s">
        <v>18</v>
      </c>
      <c r="Q9">
        <v>3.5</v>
      </c>
    </row>
    <row r="10" spans="1:17" x14ac:dyDescent="0.3">
      <c r="A10">
        <v>100</v>
      </c>
      <c r="B10">
        <v>100</v>
      </c>
      <c r="C10">
        <v>4</v>
      </c>
      <c r="D10">
        <v>100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0.40877826408651458</v>
      </c>
      <c r="L10">
        <v>0.23189229557503629</v>
      </c>
      <c r="M10">
        <v>0.81442509354977299</v>
      </c>
      <c r="N10">
        <v>1.4523053011433511</v>
      </c>
      <c r="O10">
        <v>0.13793818820273321</v>
      </c>
      <c r="P10" t="s">
        <v>18</v>
      </c>
      <c r="Q10">
        <v>4</v>
      </c>
    </row>
    <row r="11" spans="1:17" x14ac:dyDescent="0.3">
      <c r="A11">
        <v>100</v>
      </c>
      <c r="B11">
        <v>100</v>
      </c>
      <c r="C11">
        <v>5</v>
      </c>
      <c r="D11">
        <v>100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0.16298843704089641</v>
      </c>
      <c r="L11">
        <v>9.0453495690750715E-2</v>
      </c>
      <c r="M11">
        <v>0.53791462143787172</v>
      </c>
      <c r="N11">
        <v>0.91467782050895452</v>
      </c>
      <c r="O11">
        <v>0.1224296725748649</v>
      </c>
      <c r="P11" t="s">
        <v>18</v>
      </c>
      <c r="Q11">
        <v>5</v>
      </c>
    </row>
    <row r="12" spans="1:17" x14ac:dyDescent="0.3">
      <c r="A12">
        <v>100</v>
      </c>
      <c r="B12">
        <v>100</v>
      </c>
      <c r="C12">
        <v>7.5</v>
      </c>
      <c r="D12">
        <v>100</v>
      </c>
      <c r="E12">
        <v>10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2.326189163166523E-2</v>
      </c>
      <c r="L12">
        <v>8.1300363357566015E-3</v>
      </c>
      <c r="M12">
        <v>8.8058403408165231E-2</v>
      </c>
      <c r="N12">
        <v>4.3202039778488049E-2</v>
      </c>
      <c r="O12">
        <v>1.9639820241756652E-2</v>
      </c>
      <c r="P12" t="s">
        <v>18</v>
      </c>
      <c r="Q12">
        <v>7.5</v>
      </c>
    </row>
    <row r="13" spans="1:17" x14ac:dyDescent="0.3">
      <c r="A13">
        <v>100</v>
      </c>
      <c r="B13">
        <v>100</v>
      </c>
      <c r="C13">
        <v>10</v>
      </c>
      <c r="D13">
        <v>100</v>
      </c>
      <c r="E13">
        <v>10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1.2221682711564669E-2</v>
      </c>
      <c r="L13">
        <v>7.8721636811526774E-3</v>
      </c>
      <c r="M13">
        <v>0.29595169482249239</v>
      </c>
      <c r="N13">
        <v>4.5787964065344147E-2</v>
      </c>
      <c r="O13">
        <v>6.1613262489598197E-3</v>
      </c>
      <c r="P13" t="s">
        <v>18</v>
      </c>
      <c r="Q13">
        <v>10</v>
      </c>
    </row>
    <row r="14" spans="1:17" x14ac:dyDescent="0.3">
      <c r="A14">
        <v>100</v>
      </c>
      <c r="B14">
        <v>100</v>
      </c>
      <c r="C14">
        <v>15</v>
      </c>
      <c r="D14">
        <v>100</v>
      </c>
      <c r="E14">
        <v>10</v>
      </c>
      <c r="F14">
        <v>1</v>
      </c>
      <c r="G14">
        <v>5.0000000000000001E-3</v>
      </c>
      <c r="H14">
        <v>12</v>
      </c>
      <c r="I14" t="b">
        <v>0</v>
      </c>
      <c r="J14" t="b">
        <v>1</v>
      </c>
      <c r="K14">
        <v>2.672241353134167E-3</v>
      </c>
      <c r="L14">
        <v>7.1069292734099487E-4</v>
      </c>
      <c r="M14">
        <v>0.31628132118073382</v>
      </c>
      <c r="N14">
        <v>0.2070991428308552</v>
      </c>
      <c r="O14">
        <v>1.682882876268451E-2</v>
      </c>
      <c r="P14" t="s">
        <v>18</v>
      </c>
      <c r="Q1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>
      <selection activeCell="G15" sqref="G1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3</v>
      </c>
      <c r="D2">
        <v>15</v>
      </c>
      <c r="E2">
        <v>10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1.511487311481613</v>
      </c>
      <c r="L2">
        <v>0.67294667511880724</v>
      </c>
      <c r="M2">
        <v>5.902054113569692</v>
      </c>
      <c r="N2">
        <v>0.2464620922985615</v>
      </c>
      <c r="O2">
        <v>5.125995828059593E-2</v>
      </c>
      <c r="P2" t="s">
        <v>3</v>
      </c>
      <c r="Q2">
        <v>15</v>
      </c>
    </row>
    <row r="3" spans="1:17" x14ac:dyDescent="0.3">
      <c r="A3">
        <v>100</v>
      </c>
      <c r="B3">
        <v>100</v>
      </c>
      <c r="C3">
        <v>3</v>
      </c>
      <c r="D3">
        <v>25</v>
      </c>
      <c r="E3">
        <v>10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0.29901514267652468</v>
      </c>
      <c r="L3">
        <v>0.10336065541603411</v>
      </c>
      <c r="M3">
        <v>1.1968216315003639</v>
      </c>
      <c r="N3">
        <v>0.7532927992647811</v>
      </c>
      <c r="O3">
        <v>7.5227442554966745E-2</v>
      </c>
      <c r="P3" t="s">
        <v>3</v>
      </c>
      <c r="Q3">
        <v>25</v>
      </c>
    </row>
    <row r="4" spans="1:17" x14ac:dyDescent="0.3">
      <c r="A4">
        <v>100</v>
      </c>
      <c r="B4">
        <v>100</v>
      </c>
      <c r="C4">
        <v>3</v>
      </c>
      <c r="D4">
        <v>40</v>
      </c>
      <c r="E4">
        <v>10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0.27945751119763601</v>
      </c>
      <c r="L4">
        <v>0.20811484262003169</v>
      </c>
      <c r="M4">
        <v>0.92502259329818681</v>
      </c>
      <c r="N4">
        <v>0.84172078008574391</v>
      </c>
      <c r="O4">
        <v>0.26209817452680573</v>
      </c>
      <c r="P4" t="s">
        <v>3</v>
      </c>
      <c r="Q4">
        <v>40</v>
      </c>
    </row>
    <row r="5" spans="1:17" x14ac:dyDescent="0.3">
      <c r="A5">
        <v>100</v>
      </c>
      <c r="B5">
        <v>100</v>
      </c>
      <c r="C5">
        <v>3</v>
      </c>
      <c r="D5">
        <v>50</v>
      </c>
      <c r="E5">
        <v>10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0.14463161504601599</v>
      </c>
      <c r="L5">
        <v>6.1562753030289401E-2</v>
      </c>
      <c r="M5">
        <v>0.47116944618420997</v>
      </c>
      <c r="N5">
        <v>1.2127851958656819</v>
      </c>
      <c r="O5">
        <v>0.19240365761777181</v>
      </c>
      <c r="P5" t="s">
        <v>3</v>
      </c>
      <c r="Q5">
        <v>50</v>
      </c>
    </row>
    <row r="6" spans="1:17" x14ac:dyDescent="0.3">
      <c r="A6">
        <v>100</v>
      </c>
      <c r="B6">
        <v>100</v>
      </c>
      <c r="C6">
        <v>3</v>
      </c>
      <c r="D6">
        <v>65</v>
      </c>
      <c r="E6">
        <v>10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8.4706058613012877E-2</v>
      </c>
      <c r="L6">
        <v>6.0667344418522007E-2</v>
      </c>
      <c r="M6">
        <v>0.32048408587989857</v>
      </c>
      <c r="N6">
        <v>1.8822084851353349</v>
      </c>
      <c r="O6">
        <v>0.23251261247431129</v>
      </c>
      <c r="P6" t="s">
        <v>3</v>
      </c>
      <c r="Q6">
        <v>65</v>
      </c>
    </row>
    <row r="7" spans="1:17" x14ac:dyDescent="0.3">
      <c r="A7">
        <v>100</v>
      </c>
      <c r="B7">
        <v>100</v>
      </c>
      <c r="C7">
        <v>3</v>
      </c>
      <c r="D7">
        <v>75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0.34927110938645151</v>
      </c>
      <c r="L7">
        <v>0.29025255204921591</v>
      </c>
      <c r="M7">
        <v>1.3303085141073001</v>
      </c>
      <c r="N7">
        <v>2.2717478289706809</v>
      </c>
      <c r="O7">
        <v>0.26851957492954959</v>
      </c>
      <c r="P7" t="s">
        <v>3</v>
      </c>
      <c r="Q7">
        <v>75</v>
      </c>
    </row>
    <row r="8" spans="1:17" x14ac:dyDescent="0.3">
      <c r="A8">
        <v>100</v>
      </c>
      <c r="B8">
        <v>100</v>
      </c>
      <c r="C8">
        <v>3</v>
      </c>
      <c r="D8">
        <v>85</v>
      </c>
      <c r="E8">
        <v>10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1.0101641978696041</v>
      </c>
      <c r="L8">
        <v>0.56306367933428381</v>
      </c>
      <c r="M8">
        <v>3.3780288555671079</v>
      </c>
      <c r="N8">
        <v>12.45493159332162</v>
      </c>
      <c r="O8">
        <v>1.275056761481844</v>
      </c>
      <c r="P8" t="s">
        <v>3</v>
      </c>
      <c r="Q8">
        <v>85</v>
      </c>
    </row>
    <row r="9" spans="1:17" x14ac:dyDescent="0.3">
      <c r="A9">
        <v>100</v>
      </c>
      <c r="B9">
        <v>100</v>
      </c>
      <c r="C9">
        <v>3</v>
      </c>
      <c r="D9">
        <v>100</v>
      </c>
      <c r="E9">
        <v>10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1.245566295641344</v>
      </c>
      <c r="L9">
        <v>1.0859134278485381</v>
      </c>
      <c r="M9">
        <v>7.8636765598481118</v>
      </c>
      <c r="N9">
        <v>6.5520651860754189</v>
      </c>
      <c r="O9">
        <v>0.85472565526224553</v>
      </c>
      <c r="P9" t="s">
        <v>3</v>
      </c>
      <c r="Q9">
        <v>100</v>
      </c>
    </row>
    <row r="10" spans="1:17" x14ac:dyDescent="0.3">
      <c r="A10">
        <v>100</v>
      </c>
      <c r="B10">
        <v>100</v>
      </c>
      <c r="C10">
        <v>3</v>
      </c>
      <c r="D10">
        <v>115</v>
      </c>
      <c r="E10">
        <v>10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1.228738950683492</v>
      </c>
      <c r="L10">
        <v>0.60248253726930601</v>
      </c>
      <c r="M10">
        <v>3.0096097730893931</v>
      </c>
      <c r="N10">
        <v>4.559937943966081</v>
      </c>
      <c r="O10">
        <v>0.67636971792572664</v>
      </c>
      <c r="P10" t="s">
        <v>3</v>
      </c>
      <c r="Q10">
        <v>115</v>
      </c>
    </row>
    <row r="11" spans="1:17" x14ac:dyDescent="0.3">
      <c r="A11">
        <v>100</v>
      </c>
      <c r="B11">
        <v>100</v>
      </c>
      <c r="C11">
        <v>3</v>
      </c>
      <c r="D11">
        <v>130</v>
      </c>
      <c r="E11">
        <v>10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0.8326487981983336</v>
      </c>
      <c r="L11">
        <v>0.67220156436740608</v>
      </c>
      <c r="M11">
        <v>2.6470807998753032</v>
      </c>
      <c r="N11">
        <v>3.3344297801616478</v>
      </c>
      <c r="O11">
        <v>0.52456034104129179</v>
      </c>
      <c r="P11" t="s">
        <v>3</v>
      </c>
      <c r="Q11">
        <v>130</v>
      </c>
    </row>
    <row r="12" spans="1:17" x14ac:dyDescent="0.3">
      <c r="A12">
        <v>100</v>
      </c>
      <c r="B12">
        <v>100</v>
      </c>
      <c r="C12">
        <v>3</v>
      </c>
      <c r="D12">
        <v>150</v>
      </c>
      <c r="E12">
        <v>10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0.74082087711556444</v>
      </c>
      <c r="L12">
        <v>0.66800474083028205</v>
      </c>
      <c r="M12">
        <v>2.1844208512387149</v>
      </c>
      <c r="N12">
        <v>7.1722157264115296</v>
      </c>
      <c r="O12">
        <v>4.0164183857850606</v>
      </c>
      <c r="P12" t="s">
        <v>3</v>
      </c>
      <c r="Q12">
        <v>150</v>
      </c>
    </row>
    <row r="13" spans="1:17" x14ac:dyDescent="0.3">
      <c r="A13">
        <v>100</v>
      </c>
      <c r="B13">
        <v>100</v>
      </c>
      <c r="C13">
        <v>3</v>
      </c>
      <c r="D13">
        <v>200</v>
      </c>
      <c r="E13">
        <v>10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0.88037379754346878</v>
      </c>
      <c r="L13">
        <v>0.59920680840438523</v>
      </c>
      <c r="M13">
        <v>1.758323607880804</v>
      </c>
      <c r="N13">
        <v>17.727318116537081</v>
      </c>
      <c r="O13">
        <v>2.1110223551917469</v>
      </c>
      <c r="P13" t="s">
        <v>3</v>
      </c>
      <c r="Q13">
        <v>200</v>
      </c>
    </row>
    <row r="15" spans="1:17" x14ac:dyDescent="0.3">
      <c r="G15">
        <f>SQRT(200)</f>
        <v>14.142135623730951</v>
      </c>
    </row>
    <row r="16" spans="1:17" x14ac:dyDescent="0.3">
      <c r="G16">
        <f>1/G15</f>
        <v>7.0710678118654752E-2</v>
      </c>
    </row>
    <row r="17" spans="7:7" x14ac:dyDescent="0.3">
      <c r="G17">
        <f>1/200</f>
        <v>5.0000000000000001E-3</v>
      </c>
    </row>
    <row r="18" spans="7:7" x14ac:dyDescent="0.3">
      <c r="G18">
        <f>G17*G15</f>
        <v>7.0710678118654752E-2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 Size</vt:lpstr>
      <vt:lpstr>Length Scale</vt:lpstr>
      <vt:lpstr>Stencil 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Corraliza, Jr</cp:lastModifiedBy>
  <dcterms:created xsi:type="dcterms:W3CDTF">2026-07-14T19:43:47Z</dcterms:created>
  <dcterms:modified xsi:type="dcterms:W3CDTF">2026-07-14T21:23:13Z</dcterms:modified>
</cp:coreProperties>
</file>