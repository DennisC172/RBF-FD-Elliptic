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<sst xmlns="http://schemas.openxmlformats.org/spreadsheetml/2006/main" count="167" uniqueCount="21">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</sst>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Size'!$Q$2:$Q$17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Size'!$K$2:$K$17</c:f>
              <c:numCache>
                <c:formatCode>General</c:formatCode>
                <c:ptCount val="16"/>
                <c:pt idx="0">
                  <c:v>0.0108670931546847</c:v>
                </c:pt>
                <c:pt idx="1">
                  <c:v>0.000916260843460559</c:v>
                </c:pt>
                <c:pt idx="2">
                  <c:v>0.000276579618365055</c:v>
                </c:pt>
                <c:pt idx="3">
                  <c:v>2.66432976800481E-005</c:v>
                </c:pt>
                <c:pt idx="4">
                  <c:v>0.000128626372681807</c:v>
                </c:pt>
                <c:pt idx="5">
                  <c:v>3.79451416543649E-005</c:v>
                </c:pt>
                <c:pt idx="6">
                  <c:v>0.000485681433860696</c:v>
                </c:pt>
                <c:pt idx="7">
                  <c:v>0.00118455898794055</c:v>
                </c:pt>
                <c:pt idx="8">
                  <c:v>0.000232457114039677</c:v>
                </c:pt>
                <c:pt idx="9">
                  <c:v>0.000106112045759596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Size'!$Q$2:$Q$17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Size'!$L$2:$L$17</c:f>
              <c:numCache>
                <c:formatCode>General</c:formatCode>
                <c:ptCount val="16"/>
                <c:pt idx="0">
                  <c:v>0.00328008869113338</c:v>
                </c:pt>
                <c:pt idx="1">
                  <c:v>0.000231865258741392</c:v>
                </c:pt>
                <c:pt idx="2">
                  <c:v>7.1015614431803E-005</c:v>
                </c:pt>
                <c:pt idx="3">
                  <c:v>9.2729480576262E-006</c:v>
                </c:pt>
                <c:pt idx="4">
                  <c:v>4.89214258937498E-005</c:v>
                </c:pt>
                <c:pt idx="5">
                  <c:v>1.56642463581527E-005</c:v>
                </c:pt>
                <c:pt idx="6">
                  <c:v>0.00012716637487943</c:v>
                </c:pt>
                <c:pt idx="7">
                  <c:v>0.00032006841515407</c:v>
                </c:pt>
                <c:pt idx="8">
                  <c:v>8.34019903607922E-005</c:v>
                </c:pt>
                <c:pt idx="9">
                  <c:v>3.57920138397644E-005</c:v>
                </c:pt>
                <c:pt idx="12">
                  <c:v>10000</c:v>
                </c:pt>
                <c:pt idx="13">
                  <c:v>0.01</c:v>
                </c:pt>
                <c:pt idx="14">
                  <c:v>0.0347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Size'!$Q$2:$Q$17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Size'!$M$2:$M$17</c:f>
              <c:numCache>
                <c:formatCode>General</c:formatCode>
                <c:ptCount val="16"/>
                <c:pt idx="0">
                  <c:v>1.32129174630731</c:v>
                </c:pt>
                <c:pt idx="1">
                  <c:v>0.000983061919993057</c:v>
                </c:pt>
                <c:pt idx="2">
                  <c:v>0.000173287395132806</c:v>
                </c:pt>
                <c:pt idx="3">
                  <c:v>3.13013988219499E-005</c:v>
                </c:pt>
                <c:pt idx="4">
                  <c:v>0.000155890335924323</c:v>
                </c:pt>
                <c:pt idx="5">
                  <c:v>4.39923655491783E-005</c:v>
                </c:pt>
                <c:pt idx="6">
                  <c:v>0.000226649026033916</c:v>
                </c:pt>
                <c:pt idx="7">
                  <c:v>0.000591208956711761</c:v>
                </c:pt>
                <c:pt idx="8">
                  <c:v>0.000157658169347097</c:v>
                </c:pt>
                <c:pt idx="9">
                  <c:v>8.43209593188667E-005</c:v>
                </c:pt>
                <c:pt idx="13">
                  <c:v>1</c:v>
                </c:pt>
                <c:pt idx="14">
                  <c:v>3.47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Size'!$Q$2:$Q$17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Size'!$N$2:$N$17</c:f>
              <c:numCache>
                <c:formatCode>General</c:formatCode>
                <c:ptCount val="16"/>
                <c:pt idx="0">
                  <c:v>0.0215211807093158</c:v>
                </c:pt>
                <c:pt idx="1">
                  <c:v>0.00188461817440298</c:v>
                </c:pt>
                <c:pt idx="2">
                  <c:v>0.0003664762954475</c:v>
                </c:pt>
                <c:pt idx="3">
                  <c:v>0.000223539080030132</c:v>
                </c:pt>
                <c:pt idx="4">
                  <c:v>0.0014204469508936</c:v>
                </c:pt>
                <c:pt idx="5">
                  <c:v>0.000877475284533343</c:v>
                </c:pt>
                <c:pt idx="6">
                  <c:v>0.00237326816474325</c:v>
                </c:pt>
                <c:pt idx="7">
                  <c:v>0.00253932042038516</c:v>
                </c:pt>
                <c:pt idx="8">
                  <c:v>0.00444381760507741</c:v>
                </c:pt>
                <c:pt idx="9">
                  <c:v>0.00131897743821985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Size'!$Q$2:$Q$17</c:f>
              <c:numCache>
                <c:formatCode>General</c:formatCode>
                <c:ptCount val="16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Size'!$O$2:$O$17</c:f>
              <c:numCache>
                <c:formatCode>General</c:formatCode>
                <c:ptCount val="16"/>
                <c:pt idx="0">
                  <c:v>0.00690938921239393</c:v>
                </c:pt>
                <c:pt idx="1">
                  <c:v>0.000362649779689086</c:v>
                </c:pt>
                <c:pt idx="2">
                  <c:v>0.000174950942202456</c:v>
                </c:pt>
                <c:pt idx="3">
                  <c:v>4.15166117158699E-005</c:v>
                </c:pt>
                <c:pt idx="4">
                  <c:v>0.000622210706275744</c:v>
                </c:pt>
                <c:pt idx="5">
                  <c:v>0.000251139914716629</c:v>
                </c:pt>
                <c:pt idx="6">
                  <c:v>0.000585635988626031</c:v>
                </c:pt>
                <c:pt idx="7">
                  <c:v>0.000327846102678892</c:v>
                </c:pt>
                <c:pt idx="8">
                  <c:v>0.000430817798932096</c:v>
                </c:pt>
                <c:pt idx="9">
                  <c:v>0.000129960072729553</c:v>
                </c:pt>
              </c:numCache>
            </c:numRef>
          </c:yVal>
          <c:smooth val="0"/>
        </c:ser>
        <c:axId val="37417383"/>
        <c:axId val="74368578"/>
      </c:scatterChart>
      <c:valAx>
        <c:axId val="3741738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368578"/>
        <c:crosses val="autoZero"/>
        <c:crossBetween val="midCat"/>
      </c:valAx>
      <c:valAx>
        <c:axId val="74368578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741738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178.211296159792</c:v>
                </c:pt>
                <c:pt idx="1">
                  <c:v>115.898580571671</c:v>
                </c:pt>
                <c:pt idx="2">
                  <c:v>0.000759108485511914</c:v>
                </c:pt>
                <c:pt idx="3">
                  <c:v>1.40365714723962E-005</c:v>
                </c:pt>
                <c:pt idx="4">
                  <c:v>0.00796522928839931</c:v>
                </c:pt>
                <c:pt idx="5">
                  <c:v>0.000218849902638429</c:v>
                </c:pt>
                <c:pt idx="6">
                  <c:v>0.000128626372681807</c:v>
                </c:pt>
                <c:pt idx="7">
                  <c:v>0.000165721402776187</c:v>
                </c:pt>
                <c:pt idx="8">
                  <c:v>0.000194533616820693</c:v>
                </c:pt>
                <c:pt idx="9">
                  <c:v>0.000186775336806747</c:v>
                </c:pt>
                <c:pt idx="10">
                  <c:v>0.000402097889912765</c:v>
                </c:pt>
                <c:pt idx="11">
                  <c:v>0.000338661212484365</c:v>
                </c:pt>
                <c:pt idx="12">
                  <c:v>0.00357893547041763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67.6947777712833</c:v>
                </c:pt>
                <c:pt idx="1">
                  <c:v>38.0754590950819</c:v>
                </c:pt>
                <c:pt idx="2">
                  <c:v>0.000232838223507803</c:v>
                </c:pt>
                <c:pt idx="3">
                  <c:v>4.98329319637165E-006</c:v>
                </c:pt>
                <c:pt idx="4">
                  <c:v>0.00248235046475372</c:v>
                </c:pt>
                <c:pt idx="5">
                  <c:v>8.51988872888554E-005</c:v>
                </c:pt>
                <c:pt idx="6">
                  <c:v>4.89214258937498E-005</c:v>
                </c:pt>
                <c:pt idx="7">
                  <c:v>7.06164562452453E-005</c:v>
                </c:pt>
                <c:pt idx="8">
                  <c:v>5.12124291661384E-005</c:v>
                </c:pt>
                <c:pt idx="9">
                  <c:v>5.10232971645532E-005</c:v>
                </c:pt>
                <c:pt idx="10">
                  <c:v>0.000135915535418332</c:v>
                </c:pt>
                <c:pt idx="11">
                  <c:v>0.000106696776300364</c:v>
                </c:pt>
                <c:pt idx="12">
                  <c:v>0.000250494597135404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36.2665750087883</c:v>
                </c:pt>
                <c:pt idx="1">
                  <c:v>19.2822076217224</c:v>
                </c:pt>
                <c:pt idx="2">
                  <c:v>0.000369991293632087</c:v>
                </c:pt>
                <c:pt idx="3">
                  <c:v>7.73761397191316E-006</c:v>
                </c:pt>
                <c:pt idx="4">
                  <c:v>0.00344545515418021</c:v>
                </c:pt>
                <c:pt idx="5">
                  <c:v>0.000261064979561595</c:v>
                </c:pt>
                <c:pt idx="6">
                  <c:v>0.000155890335924323</c:v>
                </c:pt>
                <c:pt idx="7">
                  <c:v>0.000154550823823018</c:v>
                </c:pt>
                <c:pt idx="8">
                  <c:v>8.85838227167592E-005</c:v>
                </c:pt>
                <c:pt idx="9">
                  <c:v>0.000206500652867919</c:v>
                </c:pt>
                <c:pt idx="10">
                  <c:v>0.000845588702804101</c:v>
                </c:pt>
                <c:pt idx="11">
                  <c:v>0.00168250455107602</c:v>
                </c:pt>
                <c:pt idx="12">
                  <c:v>0.0488931435960422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0.035024702576626</c:v>
                </c:pt>
                <c:pt idx="1">
                  <c:v>0.0332016025527204</c:v>
                </c:pt>
                <c:pt idx="2">
                  <c:v>0.00164278608603061</c:v>
                </c:pt>
                <c:pt idx="3">
                  <c:v>0.000105103488234859</c:v>
                </c:pt>
                <c:pt idx="4">
                  <c:v>0.00150654955945204</c:v>
                </c:pt>
                <c:pt idx="5">
                  <c:v>0.00041239091847699</c:v>
                </c:pt>
                <c:pt idx="6">
                  <c:v>0.0014204469508936</c:v>
                </c:pt>
                <c:pt idx="7">
                  <c:v>0.00162754618984479</c:v>
                </c:pt>
                <c:pt idx="8">
                  <c:v>0.000256635029209935</c:v>
                </c:pt>
                <c:pt idx="9">
                  <c:v>0.000909440870375948</c:v>
                </c:pt>
                <c:pt idx="10">
                  <c:v>0.00316792435888679</c:v>
                </c:pt>
                <c:pt idx="11">
                  <c:v>0.00714411565931504</c:v>
                </c:pt>
                <c:pt idx="12">
                  <c:v>1.42706955120419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0.00746951989729042</c:v>
                </c:pt>
                <c:pt idx="1">
                  <c:v>0.00717340466160258</c:v>
                </c:pt>
                <c:pt idx="2">
                  <c:v>0.000742644711153161</c:v>
                </c:pt>
                <c:pt idx="3">
                  <c:v>2.70942499055127E-005</c:v>
                </c:pt>
                <c:pt idx="4">
                  <c:v>0.000456754718652707</c:v>
                </c:pt>
                <c:pt idx="5">
                  <c:v>0.000180650407355436</c:v>
                </c:pt>
                <c:pt idx="6">
                  <c:v>0.000622210706275744</c:v>
                </c:pt>
                <c:pt idx="7">
                  <c:v>0.0013341629869378</c:v>
                </c:pt>
                <c:pt idx="8">
                  <c:v>6.45499368570585E-005</c:v>
                </c:pt>
                <c:pt idx="9">
                  <c:v>0.000244402000641213</c:v>
                </c:pt>
                <c:pt idx="10">
                  <c:v>0.00260786095795851</c:v>
                </c:pt>
                <c:pt idx="11">
                  <c:v>0.00112626233237801</c:v>
                </c:pt>
                <c:pt idx="12">
                  <c:v>0.0568538792323469</c:v>
                </c:pt>
              </c:numCache>
            </c:numRef>
          </c:yVal>
          <c:smooth val="0"/>
        </c:ser>
        <c:axId val="25423074"/>
        <c:axId val="558142"/>
      </c:scatterChart>
      <c:valAx>
        <c:axId val="2542307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8142"/>
        <c:crosses val="autoZero"/>
        <c:crossBetween val="midCat"/>
      </c:valAx>
      <c:valAx>
        <c:axId val="5581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542307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Nodes'!$Q$2:$Q$21</c:f>
              <c:numCache>
                <c:formatCode>General</c:formatCode>
                <c:ptCount val="20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Nodes'!$K$2:$K$21</c:f>
              <c:numCache>
                <c:formatCode>General</c:formatCode>
                <c:ptCount val="20"/>
                <c:pt idx="0">
                  <c:v>0.00272685452125944</c:v>
                </c:pt>
                <c:pt idx="1">
                  <c:v>4.06147553819489E-005</c:v>
                </c:pt>
                <c:pt idx="2">
                  <c:v>0.000264117177322943</c:v>
                </c:pt>
                <c:pt idx="3">
                  <c:v>0.000184792294248381</c:v>
                </c:pt>
                <c:pt idx="4">
                  <c:v>8.35970446818269E-005</c:v>
                </c:pt>
                <c:pt idx="5">
                  <c:v>2.33316788669181E-005</c:v>
                </c:pt>
                <c:pt idx="6">
                  <c:v>0.000131315443323491</c:v>
                </c:pt>
                <c:pt idx="7">
                  <c:v>0.000128626372681807</c:v>
                </c:pt>
                <c:pt idx="8">
                  <c:v>0.000154134540826148</c:v>
                </c:pt>
                <c:pt idx="9">
                  <c:v>0.000445384120316</c:v>
                </c:pt>
                <c:pt idx="10">
                  <c:v>0.00183145951308375</c:v>
                </c:pt>
                <c:pt idx="11">
                  <c:v>5.0069766651657E-005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Nodes'!$Q$2:$Q$21</c:f>
              <c:numCache>
                <c:formatCode>General</c:formatCode>
                <c:ptCount val="20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Nodes'!$L$2:$L$21</c:f>
              <c:numCache>
                <c:formatCode>General</c:formatCode>
                <c:ptCount val="20"/>
                <c:pt idx="0">
                  <c:v>0.000324031893049553</c:v>
                </c:pt>
                <c:pt idx="1">
                  <c:v>6.73674629789976E-006</c:v>
                </c:pt>
                <c:pt idx="2">
                  <c:v>0.000102496676051201</c:v>
                </c:pt>
                <c:pt idx="3">
                  <c:v>5.92614387482426E-005</c:v>
                </c:pt>
                <c:pt idx="4">
                  <c:v>2.41272126951523E-005</c:v>
                </c:pt>
                <c:pt idx="5">
                  <c:v>1.40925986680452E-005</c:v>
                </c:pt>
                <c:pt idx="6">
                  <c:v>3.87055132699303E-005</c:v>
                </c:pt>
                <c:pt idx="7">
                  <c:v>4.89214258937498E-005</c:v>
                </c:pt>
                <c:pt idx="8">
                  <c:v>5.74609496595978E-005</c:v>
                </c:pt>
                <c:pt idx="9">
                  <c:v>0.000155703881181655</c:v>
                </c:pt>
                <c:pt idx="10">
                  <c:v>0.000723311277204055</c:v>
                </c:pt>
                <c:pt idx="11">
                  <c:v>1.31486234620471E-005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Nodes'!$Q$2:$Q$21</c:f>
              <c:numCache>
                <c:formatCode>General</c:formatCode>
                <c:ptCount val="20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Nodes'!$M$2:$M$21</c:f>
              <c:numCache>
                <c:formatCode>General</c:formatCode>
                <c:ptCount val="20"/>
                <c:pt idx="0">
                  <c:v>0.000910318999134894</c:v>
                </c:pt>
                <c:pt idx="1">
                  <c:v>3.9765898872048E-005</c:v>
                </c:pt>
                <c:pt idx="2">
                  <c:v>0.000227689173352946</c:v>
                </c:pt>
                <c:pt idx="3">
                  <c:v>0.000233693380974294</c:v>
                </c:pt>
                <c:pt idx="4">
                  <c:v>6.56971511437937E-005</c:v>
                </c:pt>
                <c:pt idx="5">
                  <c:v>2.7778480140462E-005</c:v>
                </c:pt>
                <c:pt idx="6">
                  <c:v>0.000110116694016996</c:v>
                </c:pt>
                <c:pt idx="7">
                  <c:v>0.000155890335924323</c:v>
                </c:pt>
                <c:pt idx="8">
                  <c:v>0.000136775580746685</c:v>
                </c:pt>
                <c:pt idx="9">
                  <c:v>0.000298532209418856</c:v>
                </c:pt>
                <c:pt idx="10">
                  <c:v>0.0012614298337916</c:v>
                </c:pt>
                <c:pt idx="11">
                  <c:v>1.83787553167121E-005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Nodes'!$Q$2:$Q$21</c:f>
              <c:numCache>
                <c:formatCode>General</c:formatCode>
                <c:ptCount val="20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Nodes'!$N$2:$N$21</c:f>
              <c:numCache>
                <c:formatCode>General</c:formatCode>
                <c:ptCount val="20"/>
                <c:pt idx="0">
                  <c:v>0.00604160062131962</c:v>
                </c:pt>
                <c:pt idx="1">
                  <c:v>0.000873827467014234</c:v>
                </c:pt>
                <c:pt idx="2">
                  <c:v>0.00240854561324714</c:v>
                </c:pt>
                <c:pt idx="3">
                  <c:v>0.00250406580127526</c:v>
                </c:pt>
                <c:pt idx="4">
                  <c:v>0.000448363396392211</c:v>
                </c:pt>
                <c:pt idx="5">
                  <c:v>0.000693786238633081</c:v>
                </c:pt>
                <c:pt idx="6">
                  <c:v>0.000828791898563095</c:v>
                </c:pt>
                <c:pt idx="7">
                  <c:v>0.0014204469508936</c:v>
                </c:pt>
                <c:pt idx="8">
                  <c:v>0.00111963247548142</c:v>
                </c:pt>
                <c:pt idx="9">
                  <c:v>0.00117975349183177</c:v>
                </c:pt>
                <c:pt idx="10">
                  <c:v>0.00169999731366608</c:v>
                </c:pt>
                <c:pt idx="11">
                  <c:v>0.000459929010572892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Nodes'!$Q$2:$Q$21</c:f>
              <c:numCache>
                <c:formatCode>General</c:formatCode>
                <c:ptCount val="20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Nodes'!$O$2:$O$21</c:f>
              <c:numCache>
                <c:formatCode>General</c:formatCode>
                <c:ptCount val="20"/>
                <c:pt idx="0">
                  <c:v>0.00128703396447445</c:v>
                </c:pt>
                <c:pt idx="1">
                  <c:v>0.000191343838222598</c:v>
                </c:pt>
                <c:pt idx="2">
                  <c:v>0.000766563786350401</c:v>
                </c:pt>
                <c:pt idx="3">
                  <c:v>0.000519184197996085</c:v>
                </c:pt>
                <c:pt idx="4">
                  <c:v>0.000238921458036362</c:v>
                </c:pt>
                <c:pt idx="5">
                  <c:v>0.000342393138178646</c:v>
                </c:pt>
                <c:pt idx="6">
                  <c:v>0.000441008329135033</c:v>
                </c:pt>
                <c:pt idx="7">
                  <c:v>0.000622210706275744</c:v>
                </c:pt>
                <c:pt idx="8">
                  <c:v>0.000757762389940983</c:v>
                </c:pt>
                <c:pt idx="9">
                  <c:v>0.00088598070215064</c:v>
                </c:pt>
                <c:pt idx="10">
                  <c:v>0.000961708942605785</c:v>
                </c:pt>
                <c:pt idx="11">
                  <c:v>0.000116862669711763</c:v>
                </c:pt>
              </c:numCache>
            </c:numRef>
          </c:yVal>
          <c:smooth val="0"/>
        </c:ser>
        <c:axId val="90223086"/>
        <c:axId val="4258743"/>
      </c:scatterChart>
      <c:valAx>
        <c:axId val="9022308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58743"/>
        <c:crosses val="autoZero"/>
        <c:crossBetween val="midCat"/>
      </c:valAx>
      <c:valAx>
        <c:axId val="425874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230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Rings'!$Q$2:$Q$18</c:f>
              <c:numCache>
                <c:formatCode>General</c:formatCode>
                <c:ptCount val="1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Rings'!$K$2:$K$18</c:f>
              <c:numCache>
                <c:formatCode>General</c:formatCode>
                <c:ptCount val="17"/>
                <c:pt idx="0">
                  <c:v>6.45911564320358E-005</c:v>
                </c:pt>
                <c:pt idx="1">
                  <c:v>0.000475153319431529</c:v>
                </c:pt>
                <c:pt idx="2">
                  <c:v>0.0998230695017595</c:v>
                </c:pt>
                <c:pt idx="3">
                  <c:v>0.000432703357625286</c:v>
                </c:pt>
                <c:pt idx="4">
                  <c:v>0.000551187170950762</c:v>
                </c:pt>
                <c:pt idx="5">
                  <c:v>0.000128626372681807</c:v>
                </c:pt>
                <c:pt idx="6">
                  <c:v>0.00045062958080113</c:v>
                </c:pt>
                <c:pt idx="7">
                  <c:v>5.40752131798306E-005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Rings'!$Q$2:$Q$18</c:f>
              <c:numCache>
                <c:formatCode>General</c:formatCode>
                <c:ptCount val="1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Rings'!$L$2:$L$18</c:f>
              <c:numCache>
                <c:formatCode>General</c:formatCode>
                <c:ptCount val="17"/>
                <c:pt idx="0">
                  <c:v>2.7719172566248E-005</c:v>
                </c:pt>
                <c:pt idx="1">
                  <c:v>0.00012486037630778</c:v>
                </c:pt>
                <c:pt idx="2">
                  <c:v>0.0244725691830899</c:v>
                </c:pt>
                <c:pt idx="3">
                  <c:v>0.000153936272736223</c:v>
                </c:pt>
                <c:pt idx="4">
                  <c:v>0.00019369898147121</c:v>
                </c:pt>
                <c:pt idx="5">
                  <c:v>4.89214258937498E-005</c:v>
                </c:pt>
                <c:pt idx="6">
                  <c:v>0.000141035952141036</c:v>
                </c:pt>
                <c:pt idx="7">
                  <c:v>2.53909471151205E-005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Rings'!$Q$2:$Q$18</c:f>
              <c:numCache>
                <c:formatCode>General</c:formatCode>
                <c:ptCount val="1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Rings'!$M$2:$M$18</c:f>
              <c:numCache>
                <c:formatCode>General</c:formatCode>
                <c:ptCount val="17"/>
                <c:pt idx="0">
                  <c:v>6.73314992234586E-005</c:v>
                </c:pt>
                <c:pt idx="1">
                  <c:v>0.000269306720900084</c:v>
                </c:pt>
                <c:pt idx="2">
                  <c:v>0.0651542178281062</c:v>
                </c:pt>
                <c:pt idx="3">
                  <c:v>0.000516816247806833</c:v>
                </c:pt>
                <c:pt idx="4">
                  <c:v>0.000642007848601131</c:v>
                </c:pt>
                <c:pt idx="5">
                  <c:v>0.000155890335924323</c:v>
                </c:pt>
                <c:pt idx="6">
                  <c:v>0.000447196609761542</c:v>
                </c:pt>
                <c:pt idx="7">
                  <c:v>5.82078559614588E-005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Rings'!$Q$2:$Q$18</c:f>
              <c:numCache>
                <c:formatCode>General</c:formatCode>
                <c:ptCount val="1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Rings'!$N$2:$N$18</c:f>
              <c:numCache>
                <c:formatCode>General</c:formatCode>
                <c:ptCount val="17"/>
                <c:pt idx="0">
                  <c:v>0.000858330440424648</c:v>
                </c:pt>
                <c:pt idx="1">
                  <c:v>0.000846210556096858</c:v>
                </c:pt>
                <c:pt idx="2">
                  <c:v>0.00140996813208648</c:v>
                </c:pt>
                <c:pt idx="3">
                  <c:v>0.000902853306036077</c:v>
                </c:pt>
                <c:pt idx="4">
                  <c:v>0.00143032768660713</c:v>
                </c:pt>
                <c:pt idx="5">
                  <c:v>0.0014204469508936</c:v>
                </c:pt>
                <c:pt idx="6">
                  <c:v>0.00141461405624513</c:v>
                </c:pt>
                <c:pt idx="7">
                  <c:v>0.00141088774764453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Rings'!$Q$2:$Q$18</c:f>
              <c:numCache>
                <c:formatCode>General</c:formatCode>
                <c:ptCount val="17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Rings'!$O$2:$O$18</c:f>
              <c:numCache>
                <c:formatCode>General</c:formatCode>
                <c:ptCount val="17"/>
                <c:pt idx="0">
                  <c:v>0.000551084156881147</c:v>
                </c:pt>
                <c:pt idx="1">
                  <c:v>0.000580932489663613</c:v>
                </c:pt>
                <c:pt idx="2">
                  <c:v>0.000571683002803583</c:v>
                </c:pt>
                <c:pt idx="3">
                  <c:v>0.000565544881729431</c:v>
                </c:pt>
                <c:pt idx="4">
                  <c:v>0.000621478013598814</c:v>
                </c:pt>
                <c:pt idx="5">
                  <c:v>0.000622210706275744</c:v>
                </c:pt>
                <c:pt idx="6">
                  <c:v>0.00062198537519328</c:v>
                </c:pt>
                <c:pt idx="7">
                  <c:v>0.000615826712796971</c:v>
                </c:pt>
              </c:numCache>
            </c:numRef>
          </c:yVal>
          <c:smooth val="0"/>
        </c:ser>
        <c:axId val="69513357"/>
        <c:axId val="35934109"/>
      </c:scatterChart>
      <c:valAx>
        <c:axId val="695133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934109"/>
        <c:crosses val="autoZero"/>
        <c:crossBetween val="midCat"/>
      </c:valAx>
      <c:valAx>
        <c:axId val="3593410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95133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0.000518568895007622</c:v>
                </c:pt>
                <c:pt idx="1">
                  <c:v>0.000475875465384973</c:v>
                </c:pt>
                <c:pt idx="2">
                  <c:v>0.000234652405235752</c:v>
                </c:pt>
                <c:pt idx="3">
                  <c:v>0.000642186767625085</c:v>
                </c:pt>
                <c:pt idx="4">
                  <c:v>6.27828308315229E-005</c:v>
                </c:pt>
                <c:pt idx="5">
                  <c:v>0.000111525684821841</c:v>
                </c:pt>
                <c:pt idx="6">
                  <c:v>7.92755816542337E-005</c:v>
                </c:pt>
                <c:pt idx="7">
                  <c:v>0.000128626372681807</c:v>
                </c:pt>
                <c:pt idx="8">
                  <c:v>0.000134875361979332</c:v>
                </c:pt>
                <c:pt idx="9">
                  <c:v>0.00014400757046761</c:v>
                </c:pt>
                <c:pt idx="10">
                  <c:v>0.00015810260388405</c:v>
                </c:pt>
                <c:pt idx="11">
                  <c:v>0.000161764169018141</c:v>
                </c:pt>
                <c:pt idx="12">
                  <c:v>0.000164760526564993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0.000528467285522328</c:v>
                </c:pt>
                <c:pt idx="1">
                  <c:v>0.000206533313048243</c:v>
                </c:pt>
                <c:pt idx="2">
                  <c:v>0.000118381572948385</c:v>
                </c:pt>
                <c:pt idx="3">
                  <c:v>0.000204804002694163</c:v>
                </c:pt>
                <c:pt idx="4">
                  <c:v>3.09717422234582E-005</c:v>
                </c:pt>
                <c:pt idx="5">
                  <c:v>4.78103847052619E-005</c:v>
                </c:pt>
                <c:pt idx="6">
                  <c:v>3.0529580153237E-005</c:v>
                </c:pt>
                <c:pt idx="7">
                  <c:v>4.89214258937498E-005</c:v>
                </c:pt>
                <c:pt idx="8">
                  <c:v>5.05882799115591E-005</c:v>
                </c:pt>
                <c:pt idx="9">
                  <c:v>5.43699987935461E-005</c:v>
                </c:pt>
                <c:pt idx="10">
                  <c:v>5.9766610616856E-005</c:v>
                </c:pt>
                <c:pt idx="11">
                  <c:v>6.06937594906217E-005</c:v>
                </c:pt>
                <c:pt idx="12">
                  <c:v>6.14861829936587E-005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0.000623822744968</c:v>
                </c:pt>
                <c:pt idx="1">
                  <c:v>0.000459529700692027</c:v>
                </c:pt>
                <c:pt idx="2">
                  <c:v>0.000198954772869689</c:v>
                </c:pt>
                <c:pt idx="3">
                  <c:v>0.000488786063224279</c:v>
                </c:pt>
                <c:pt idx="4">
                  <c:v>9.06897589306997E-005</c:v>
                </c:pt>
                <c:pt idx="5">
                  <c:v>0.0001610304170002</c:v>
                </c:pt>
                <c:pt idx="6">
                  <c:v>8.92149843363087E-005</c:v>
                </c:pt>
                <c:pt idx="7">
                  <c:v>0.000155890335924323</c:v>
                </c:pt>
                <c:pt idx="8">
                  <c:v>0.00016951401214326</c:v>
                </c:pt>
                <c:pt idx="9">
                  <c:v>0.000178410990359165</c:v>
                </c:pt>
                <c:pt idx="10">
                  <c:v>0.00019145322737495</c:v>
                </c:pt>
                <c:pt idx="11">
                  <c:v>0.000193705909071816</c:v>
                </c:pt>
                <c:pt idx="12">
                  <c:v>0.000195636460703964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0.012829162815933</c:v>
                </c:pt>
                <c:pt idx="1">
                  <c:v>0.00663071445806275</c:v>
                </c:pt>
                <c:pt idx="2">
                  <c:v>0.00168646132212093</c:v>
                </c:pt>
                <c:pt idx="3">
                  <c:v>0.00128813885787647</c:v>
                </c:pt>
                <c:pt idx="4">
                  <c:v>0.00139506030299241</c:v>
                </c:pt>
                <c:pt idx="5">
                  <c:v>0.00140841968869305</c:v>
                </c:pt>
                <c:pt idx="6">
                  <c:v>0.00141911676602667</c:v>
                </c:pt>
                <c:pt idx="7">
                  <c:v>0.0014204469508936</c:v>
                </c:pt>
                <c:pt idx="8">
                  <c:v>0.0014215165750711</c:v>
                </c:pt>
                <c:pt idx="9">
                  <c:v>0.0014216493162608</c:v>
                </c:pt>
                <c:pt idx="10">
                  <c:v>0.00142175677613126</c:v>
                </c:pt>
                <c:pt idx="11">
                  <c:v>0.00142176658673686</c:v>
                </c:pt>
                <c:pt idx="12">
                  <c:v>0.00142178319298407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0.00788319550091748</c:v>
                </c:pt>
                <c:pt idx="1">
                  <c:v>0.00420294785586464</c:v>
                </c:pt>
                <c:pt idx="2">
                  <c:v>0.00128989138413662</c:v>
                </c:pt>
                <c:pt idx="3">
                  <c:v>0.000942147398361129</c:v>
                </c:pt>
                <c:pt idx="4">
                  <c:v>0.000680095397422559</c:v>
                </c:pt>
                <c:pt idx="5">
                  <c:v>0.000649330617901664</c:v>
                </c:pt>
                <c:pt idx="6">
                  <c:v>0.000625195086954179</c:v>
                </c:pt>
                <c:pt idx="7">
                  <c:v>0.000622210706275744</c:v>
                </c:pt>
                <c:pt idx="8">
                  <c:v>0.000619828594150279</c:v>
                </c:pt>
                <c:pt idx="9">
                  <c:v>0.000619531171833028</c:v>
                </c:pt>
                <c:pt idx="10">
                  <c:v>0.000619293291795899</c:v>
                </c:pt>
                <c:pt idx="11">
                  <c:v>0.000619263507456793</c:v>
                </c:pt>
                <c:pt idx="12">
                  <c:v>0.000619239792079398</c:v>
                </c:pt>
              </c:numCache>
            </c:numRef>
          </c:yVal>
          <c:smooth val="0"/>
        </c:ser>
        <c:axId val="41134769"/>
        <c:axId val="34609550"/>
      </c:scatterChart>
      <c:valAx>
        <c:axId val="4113476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609550"/>
        <c:crosses val="autoZero"/>
        <c:crossBetween val="midCat"/>
      </c:valAx>
      <c:valAx>
        <c:axId val="3460955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13476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1.39951525765996</c:v>
                </c:pt>
                <c:pt idx="1">
                  <c:v>0.000185342282344727</c:v>
                </c:pt>
                <c:pt idx="2">
                  <c:v>0.00189499749680863</c:v>
                </c:pt>
                <c:pt idx="3">
                  <c:v>9.85315830717264E-005</c:v>
                </c:pt>
                <c:pt idx="4">
                  <c:v>0.000128626372681807</c:v>
                </c:pt>
                <c:pt idx="5">
                  <c:v>8.5819114290313E-005</c:v>
                </c:pt>
                <c:pt idx="6">
                  <c:v>0.000184356147256868</c:v>
                </c:pt>
                <c:pt idx="7">
                  <c:v>0.000222190046993956</c:v>
                </c:pt>
                <c:pt idx="8">
                  <c:v>1.39963930260562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0.968690733488027</c:v>
                </c:pt>
                <c:pt idx="1">
                  <c:v>0.000107847835120733</c:v>
                </c:pt>
                <c:pt idx="2">
                  <c:v>0.000505328334438854</c:v>
                </c:pt>
                <c:pt idx="3">
                  <c:v>2.93248848428043E-005</c:v>
                </c:pt>
                <c:pt idx="4">
                  <c:v>4.89214258937498E-005</c:v>
                </c:pt>
                <c:pt idx="5">
                  <c:v>2.85855343388451E-005</c:v>
                </c:pt>
                <c:pt idx="6">
                  <c:v>6.81783471169753E-005</c:v>
                </c:pt>
                <c:pt idx="7">
                  <c:v>0.000129321367874016</c:v>
                </c:pt>
                <c:pt idx="8">
                  <c:v>0.968793079939545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0.693455447154929</c:v>
                </c:pt>
                <c:pt idx="1">
                  <c:v>0.000214871812887042</c:v>
                </c:pt>
                <c:pt idx="2">
                  <c:v>0.00101359124037828</c:v>
                </c:pt>
                <c:pt idx="3">
                  <c:v>7.30312976834346E-005</c:v>
                </c:pt>
                <c:pt idx="4">
                  <c:v>0.000155890335924323</c:v>
                </c:pt>
                <c:pt idx="5">
                  <c:v>6.26689834510092E-005</c:v>
                </c:pt>
                <c:pt idx="6">
                  <c:v>0.000148337101527601</c:v>
                </c:pt>
                <c:pt idx="7">
                  <c:v>0.00022659657641141</c:v>
                </c:pt>
                <c:pt idx="8">
                  <c:v>0.693519172530686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1.6226630558003</c:v>
                </c:pt>
                <c:pt idx="1">
                  <c:v>0.00172122202976914</c:v>
                </c:pt>
                <c:pt idx="2">
                  <c:v>0.00116557770803625</c:v>
                </c:pt>
                <c:pt idx="3">
                  <c:v>0.0010613686806391</c:v>
                </c:pt>
                <c:pt idx="4">
                  <c:v>0.0014204469508936</c:v>
                </c:pt>
                <c:pt idx="5">
                  <c:v>0.0010602806058258</c:v>
                </c:pt>
                <c:pt idx="6">
                  <c:v>0.00116557823662172</c:v>
                </c:pt>
                <c:pt idx="7">
                  <c:v>0.00172122212348819</c:v>
                </c:pt>
                <c:pt idx="8">
                  <c:v>1.62266308986144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0.22076486570397</c:v>
                </c:pt>
                <c:pt idx="1">
                  <c:v>0.000781048392573875</c:v>
                </c:pt>
                <c:pt idx="2">
                  <c:v>0.000656396889669864</c:v>
                </c:pt>
                <c:pt idx="3">
                  <c:v>0.000620458135875161</c:v>
                </c:pt>
                <c:pt idx="4">
                  <c:v>0.000622210706275744</c:v>
                </c:pt>
                <c:pt idx="5">
                  <c:v>0.000621215528429405</c:v>
                </c:pt>
                <c:pt idx="6">
                  <c:v>0.000657196297007326</c:v>
                </c:pt>
                <c:pt idx="7">
                  <c:v>0.000781643430510431</c:v>
                </c:pt>
                <c:pt idx="8">
                  <c:v>0.22076486124879</c:v>
                </c:pt>
              </c:numCache>
            </c:numRef>
          </c:yVal>
          <c:smooth val="0"/>
        </c:ser>
        <c:axId val="30612722"/>
        <c:axId val="97724205"/>
      </c:scatterChart>
      <c:valAx>
        <c:axId val="30612722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24205"/>
        <c:crosses val="autoZero"/>
        <c:crossBetween val="midCat"/>
      </c:valAx>
      <c:valAx>
        <c:axId val="97724205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612722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6" activeCellId="0" sqref="M16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0.0108670931546847</v>
      </c>
      <c r="L2" s="0" t="n">
        <v>0.00328008869113338</v>
      </c>
      <c r="M2" s="0" t="n">
        <v>1.32129174630731</v>
      </c>
      <c r="N2" s="0" t="n">
        <v>0.0215211807093158</v>
      </c>
      <c r="O2" s="0" t="n">
        <v>0.00690938921239393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0.000916260843460559</v>
      </c>
      <c r="L3" s="0" t="n">
        <v>0.000231865258741392</v>
      </c>
      <c r="M3" s="0" t="n">
        <v>0.000983061919993057</v>
      </c>
      <c r="N3" s="0" t="n">
        <v>0.00188461817440298</v>
      </c>
      <c r="O3" s="0" t="n">
        <v>0.000362649779689086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0.000276579618365055</v>
      </c>
      <c r="L4" s="0" t="n">
        <v>7.1015614431803E-005</v>
      </c>
      <c r="M4" s="0" t="n">
        <v>0.000173287395132806</v>
      </c>
      <c r="N4" s="0" t="n">
        <v>0.0003664762954475</v>
      </c>
      <c r="O4" s="0" t="n">
        <v>0.000174950942202456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2.66432976800481E-005</v>
      </c>
      <c r="L5" s="0" t="n">
        <v>9.2729480576262E-006</v>
      </c>
      <c r="M5" s="0" t="n">
        <v>3.13013988219499E-005</v>
      </c>
      <c r="N5" s="0" t="n">
        <v>0.000223539080030132</v>
      </c>
      <c r="O5" s="0" t="n">
        <v>4.15166117158699E-005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0.000128626372681807</v>
      </c>
      <c r="L6" s="0" t="n">
        <v>4.89214258937498E-005</v>
      </c>
      <c r="M6" s="0" t="n">
        <v>0.000155890335924323</v>
      </c>
      <c r="N6" s="0" t="n">
        <v>0.0014204469508936</v>
      </c>
      <c r="O6" s="0" t="n">
        <v>0.000622210706275744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3.79451416543649E-005</v>
      </c>
      <c r="L7" s="0" t="n">
        <v>1.56642463581527E-005</v>
      </c>
      <c r="M7" s="0" t="n">
        <v>4.39923655491783E-005</v>
      </c>
      <c r="N7" s="0" t="n">
        <v>0.000877475284533343</v>
      </c>
      <c r="O7" s="0" t="n">
        <v>0.000251139914716629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0.000485681433860696</v>
      </c>
      <c r="L8" s="0" t="n">
        <v>0.00012716637487943</v>
      </c>
      <c r="M8" s="0" t="n">
        <v>0.000226649026033916</v>
      </c>
      <c r="N8" s="0" t="n">
        <v>0.00237326816474325</v>
      </c>
      <c r="O8" s="0" t="n">
        <v>0.000585635988626031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0.00118455898794055</v>
      </c>
      <c r="L9" s="0" t="n">
        <v>0.00032006841515407</v>
      </c>
      <c r="M9" s="0" t="n">
        <v>0.000591208956711761</v>
      </c>
      <c r="N9" s="0" t="n">
        <v>0.00253932042038516</v>
      </c>
      <c r="O9" s="0" t="n">
        <v>0.000327846102678892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0.000232457114039677</v>
      </c>
      <c r="L10" s="0" t="n">
        <v>8.34019903607922E-005</v>
      </c>
      <c r="M10" s="0" t="n">
        <v>0.000157658169347097</v>
      </c>
      <c r="N10" s="0" t="n">
        <v>0.00444381760507741</v>
      </c>
      <c r="O10" s="0" t="n">
        <v>0.000430817798932096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0.000106112045759596</v>
      </c>
      <c r="L11" s="0" t="n">
        <v>3.57920138397644E-005</v>
      </c>
      <c r="M11" s="0" t="n">
        <v>8.43209593188667E-005</v>
      </c>
      <c r="N11" s="0" t="n">
        <v>0.00131897743821985</v>
      </c>
      <c r="O11" s="0" t="n">
        <v>0.000129960072729553</v>
      </c>
      <c r="P11" s="0" t="s">
        <v>17</v>
      </c>
      <c r="Q11" s="0" t="n">
        <v>250</v>
      </c>
    </row>
    <row r="14" customFormat="false" ht="14.25" hidden="false" customHeight="false" outlineLevel="0" collapsed="false">
      <c r="I14" s="0" t="n">
        <f aca="false">75*75</f>
        <v>5625</v>
      </c>
      <c r="L14" s="0" t="n">
        <f aca="false">100*100</f>
        <v>10000</v>
      </c>
    </row>
    <row r="15" customFormat="false" ht="14.25" hidden="false" customHeight="false" outlineLevel="0" collapsed="false">
      <c r="I15" s="0" t="n">
        <f aca="false">100/I14</f>
        <v>0.0177777777777778</v>
      </c>
      <c r="J15" s="0" t="n">
        <f aca="false">I15*100</f>
        <v>1.77777777777778</v>
      </c>
      <c r="L15" s="0" t="n">
        <f aca="false">100/L14</f>
        <v>0.01</v>
      </c>
      <c r="M15" s="0" t="n">
        <f aca="false">L15*100</f>
        <v>1</v>
      </c>
    </row>
    <row r="16" customFormat="false" ht="14.25" hidden="false" customHeight="false" outlineLevel="0" collapsed="false">
      <c r="I16" s="0" t="n">
        <f aca="false">347/I14</f>
        <v>0.0616888888888889</v>
      </c>
      <c r="J16" s="0" t="n">
        <f aca="false">I16*100</f>
        <v>6.16888888888889</v>
      </c>
      <c r="L16" s="0" t="n">
        <f aca="false">347/L14</f>
        <v>0.0347</v>
      </c>
      <c r="M16" s="0" t="n">
        <f aca="false">L16*100</f>
        <v>3.47</v>
      </c>
    </row>
    <row r="17" customFormat="false" ht="14.25" hidden="false" customHeight="false" outlineLevel="0" collapsed="false">
      <c r="J17" s="0" t="n">
        <f aca="false">J16+J15</f>
        <v>7.94666666666667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4" activeCellId="0" sqref="L4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178.211296159792</v>
      </c>
      <c r="L2" s="0" t="n">
        <v>67.6947777712833</v>
      </c>
      <c r="M2" s="0" t="n">
        <v>36.2665750087883</v>
      </c>
      <c r="N2" s="0" t="n">
        <v>0.035024702576626</v>
      </c>
      <c r="O2" s="0" t="n">
        <v>0.00746951989729042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115.898580571671</v>
      </c>
      <c r="L3" s="0" t="n">
        <v>38.0754590950819</v>
      </c>
      <c r="M3" s="0" t="n">
        <v>19.2822076217224</v>
      </c>
      <c r="N3" s="0" t="n">
        <v>0.0332016025527204</v>
      </c>
      <c r="O3" s="0" t="n">
        <v>0.00717340466160258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0.000759108485511914</v>
      </c>
      <c r="L4" s="0" t="n">
        <v>0.000232838223507803</v>
      </c>
      <c r="M4" s="0" t="n">
        <v>0.000369991293632087</v>
      </c>
      <c r="N4" s="0" t="n">
        <v>0.00164278608603061</v>
      </c>
      <c r="O4" s="0" t="n">
        <v>0.000742644711153161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1.40365714723962E-005</v>
      </c>
      <c r="L5" s="0" t="n">
        <v>4.98329319637165E-006</v>
      </c>
      <c r="M5" s="0" t="n">
        <v>7.73761397191316E-006</v>
      </c>
      <c r="N5" s="0" t="n">
        <v>0.000105103488234859</v>
      </c>
      <c r="O5" s="0" t="n">
        <v>2.70942499055127E-005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0.00796522928839931</v>
      </c>
      <c r="L6" s="0" t="n">
        <v>0.00248235046475372</v>
      </c>
      <c r="M6" s="0" t="n">
        <v>0.00344545515418021</v>
      </c>
      <c r="N6" s="0" t="n">
        <v>0.00150654955945204</v>
      </c>
      <c r="O6" s="0" t="n">
        <v>0.000456754718652707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0.000218849902638429</v>
      </c>
      <c r="L7" s="0" t="n">
        <v>8.51988872888554E-005</v>
      </c>
      <c r="M7" s="0" t="n">
        <v>0.000261064979561595</v>
      </c>
      <c r="N7" s="0" t="n">
        <v>0.00041239091847699</v>
      </c>
      <c r="O7" s="0" t="n">
        <v>0.000180650407355436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0.000128626372681807</v>
      </c>
      <c r="L8" s="0" t="n">
        <v>4.89214258937498E-005</v>
      </c>
      <c r="M8" s="0" t="n">
        <v>0.000155890335924323</v>
      </c>
      <c r="N8" s="0" t="n">
        <v>0.0014204469508936</v>
      </c>
      <c r="O8" s="0" t="n">
        <v>0.000622210706275744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0.000165721402776187</v>
      </c>
      <c r="L9" s="0" t="n">
        <v>7.06164562452453E-005</v>
      </c>
      <c r="M9" s="0" t="n">
        <v>0.000154550823823018</v>
      </c>
      <c r="N9" s="0" t="n">
        <v>0.00162754618984479</v>
      </c>
      <c r="O9" s="0" t="n">
        <v>0.0013341629869378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0.000194533616820693</v>
      </c>
      <c r="L10" s="0" t="n">
        <v>5.12124291661384E-005</v>
      </c>
      <c r="M10" s="0" t="n">
        <v>8.85838227167592E-005</v>
      </c>
      <c r="N10" s="0" t="n">
        <v>0.000256635029209935</v>
      </c>
      <c r="O10" s="0" t="n">
        <v>6.45499368570585E-005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0.000186775336806747</v>
      </c>
      <c r="L11" s="0" t="n">
        <v>5.10232971645532E-005</v>
      </c>
      <c r="M11" s="0" t="n">
        <v>0.000206500652867919</v>
      </c>
      <c r="N11" s="0" t="n">
        <v>0.000909440870375948</v>
      </c>
      <c r="O11" s="0" t="n">
        <v>0.000244402000641213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0.000402097889912765</v>
      </c>
      <c r="L12" s="0" t="n">
        <v>0.000135915535418332</v>
      </c>
      <c r="M12" s="0" t="n">
        <v>0.000845588702804101</v>
      </c>
      <c r="N12" s="0" t="n">
        <v>0.00316792435888679</v>
      </c>
      <c r="O12" s="0" t="n">
        <v>0.00260786095795851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0.000338661212484365</v>
      </c>
      <c r="L13" s="0" t="n">
        <v>0.000106696776300364</v>
      </c>
      <c r="M13" s="0" t="n">
        <v>0.00168250455107602</v>
      </c>
      <c r="N13" s="0" t="n">
        <v>0.00714411565931504</v>
      </c>
      <c r="O13" s="0" t="n">
        <v>0.00112626233237801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0.00357893547041763</v>
      </c>
      <c r="L14" s="0" t="n">
        <v>0.000250494597135404</v>
      </c>
      <c r="M14" s="0" t="n">
        <v>0.0488931435960422</v>
      </c>
      <c r="N14" s="0" t="n">
        <v>1.42706955120419</v>
      </c>
      <c r="O14" s="0" t="n">
        <v>0.0568538792323469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0.00272685452125944</v>
      </c>
      <c r="L2" s="0" t="n">
        <v>0.000324031893049553</v>
      </c>
      <c r="M2" s="0" t="n">
        <v>0.000910318999134894</v>
      </c>
      <c r="N2" s="0" t="n">
        <v>0.00604160062131962</v>
      </c>
      <c r="O2" s="0" t="n">
        <v>0.00128703396447445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4.06147553819489E-005</v>
      </c>
      <c r="L3" s="0" t="n">
        <v>6.73674629789976E-006</v>
      </c>
      <c r="M3" s="0" t="n">
        <v>3.9765898872048E-005</v>
      </c>
      <c r="N3" s="0" t="n">
        <v>0.000873827467014234</v>
      </c>
      <c r="O3" s="0" t="n">
        <v>0.000191343838222598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0.000264117177322943</v>
      </c>
      <c r="L4" s="0" t="n">
        <v>0.000102496676051201</v>
      </c>
      <c r="M4" s="0" t="n">
        <v>0.000227689173352946</v>
      </c>
      <c r="N4" s="0" t="n">
        <v>0.00240854561324714</v>
      </c>
      <c r="O4" s="0" t="n">
        <v>0.000766563786350401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0.000184792294248381</v>
      </c>
      <c r="L5" s="0" t="n">
        <v>5.92614387482426E-005</v>
      </c>
      <c r="M5" s="0" t="n">
        <v>0.000233693380974294</v>
      </c>
      <c r="N5" s="0" t="n">
        <v>0.00250406580127526</v>
      </c>
      <c r="O5" s="0" t="n">
        <v>0.000519184197996085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8.35970446818269E-005</v>
      </c>
      <c r="L6" s="0" t="n">
        <v>2.41272126951523E-005</v>
      </c>
      <c r="M6" s="0" t="n">
        <v>6.56971511437937E-005</v>
      </c>
      <c r="N6" s="0" t="n">
        <v>0.000448363396392211</v>
      </c>
      <c r="O6" s="0" t="n">
        <v>0.000238921458036362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2.33316788669181E-005</v>
      </c>
      <c r="L7" s="0" t="n">
        <v>1.40925986680452E-005</v>
      </c>
      <c r="M7" s="0" t="n">
        <v>2.7778480140462E-005</v>
      </c>
      <c r="N7" s="0" t="n">
        <v>0.000693786238633081</v>
      </c>
      <c r="O7" s="0" t="n">
        <v>0.000342393138178646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0.000131315443323491</v>
      </c>
      <c r="L8" s="0" t="n">
        <v>3.87055132699303E-005</v>
      </c>
      <c r="M8" s="0" t="n">
        <v>0.000110116694016996</v>
      </c>
      <c r="N8" s="0" t="n">
        <v>0.000828791898563095</v>
      </c>
      <c r="O8" s="0" t="n">
        <v>0.000441008329135033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0.000128626372681807</v>
      </c>
      <c r="L9" s="0" t="n">
        <v>4.89214258937498E-005</v>
      </c>
      <c r="M9" s="0" t="n">
        <v>0.000155890335924323</v>
      </c>
      <c r="N9" s="0" t="n">
        <v>0.0014204469508936</v>
      </c>
      <c r="O9" s="0" t="n">
        <v>0.000622210706275744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0.000154134540826148</v>
      </c>
      <c r="L10" s="0" t="n">
        <v>5.74609496595978E-005</v>
      </c>
      <c r="M10" s="0" t="n">
        <v>0.000136775580746685</v>
      </c>
      <c r="N10" s="0" t="n">
        <v>0.00111963247548142</v>
      </c>
      <c r="O10" s="0" t="n">
        <v>0.000757762389940983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0.000445384120316</v>
      </c>
      <c r="L11" s="0" t="n">
        <v>0.000155703881181655</v>
      </c>
      <c r="M11" s="0" t="n">
        <v>0.000298532209418856</v>
      </c>
      <c r="N11" s="0" t="n">
        <v>0.00117975349183177</v>
      </c>
      <c r="O11" s="0" t="n">
        <v>0.00088598070215064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0.00183145951308375</v>
      </c>
      <c r="L12" s="0" t="n">
        <v>0.000723311277204055</v>
      </c>
      <c r="M12" s="0" t="n">
        <v>0.0012614298337916</v>
      </c>
      <c r="N12" s="0" t="n">
        <v>0.00169999731366608</v>
      </c>
      <c r="O12" s="0" t="n">
        <v>0.000961708942605785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5.0069766651657E-005</v>
      </c>
      <c r="L13" s="0" t="n">
        <v>1.31486234620471E-005</v>
      </c>
      <c r="M13" s="0" t="n">
        <v>1.83787553167121E-005</v>
      </c>
      <c r="N13" s="0" t="n">
        <v>0.000459929010572892</v>
      </c>
      <c r="O13" s="0" t="n">
        <v>0.000116862669711763</v>
      </c>
      <c r="P13" s="0" t="s">
        <v>3</v>
      </c>
      <c r="Q13" s="0" t="n">
        <v>200</v>
      </c>
    </row>
    <row r="18" customFormat="false" ht="14.25" hidden="false" customHeight="false" outlineLevel="0" collapsed="false">
      <c r="F18" s="0" t="n">
        <f aca="false">100*100</f>
        <v>10000</v>
      </c>
    </row>
    <row r="19" customFormat="false" ht="14.25" hidden="false" customHeight="false" outlineLevel="0" collapsed="false">
      <c r="F19" s="0" t="n">
        <f aca="false">200/F18</f>
        <v>0.02</v>
      </c>
      <c r="G19" s="0" t="n">
        <f aca="false">F19*100</f>
        <v>2</v>
      </c>
    </row>
    <row r="20" customFormat="false" ht="14.25" hidden="false" customHeight="false" outlineLevel="0" collapsed="false">
      <c r="F20" s="0" t="n">
        <f aca="false">347/F18</f>
        <v>0.0347</v>
      </c>
      <c r="G20" s="0" t="n">
        <f aca="false">F20*100</f>
        <v>3.47</v>
      </c>
    </row>
    <row r="21" customFormat="false" ht="14.25" hidden="false" customHeight="false" outlineLevel="0" collapsed="false">
      <c r="G21" s="0" t="n">
        <f aca="false">SUM(G19:G20)</f>
        <v>5.47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9" activeCellId="0" sqref="G19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6.45911564320358E-005</v>
      </c>
      <c r="L2" s="0" t="n">
        <v>2.7719172566248E-005</v>
      </c>
      <c r="M2" s="0" t="n">
        <v>6.73314992234586E-005</v>
      </c>
      <c r="N2" s="0" t="n">
        <v>0.000858330440424648</v>
      </c>
      <c r="O2" s="0" t="n">
        <v>0.000551084156881147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0.000475153319431529</v>
      </c>
      <c r="L3" s="0" t="n">
        <v>0.00012486037630778</v>
      </c>
      <c r="M3" s="0" t="n">
        <v>0.000269306720900084</v>
      </c>
      <c r="N3" s="0" t="n">
        <v>0.000846210556096858</v>
      </c>
      <c r="O3" s="0" t="n">
        <v>0.000580932489663613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0.0998230695017595</v>
      </c>
      <c r="L4" s="0" t="n">
        <v>0.0244725691830899</v>
      </c>
      <c r="M4" s="0" t="n">
        <v>0.0651542178281062</v>
      </c>
      <c r="N4" s="0" t="n">
        <v>0.00140996813208648</v>
      </c>
      <c r="O4" s="0" t="n">
        <v>0.000571683002803583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0.000432703357625286</v>
      </c>
      <c r="L5" s="0" t="n">
        <v>0.000153936272736223</v>
      </c>
      <c r="M5" s="0" t="n">
        <v>0.000516816247806833</v>
      </c>
      <c r="N5" s="0" t="n">
        <v>0.000902853306036077</v>
      </c>
      <c r="O5" s="0" t="n">
        <v>0.000565544881729431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0.000551187170950762</v>
      </c>
      <c r="L6" s="0" t="n">
        <v>0.00019369898147121</v>
      </c>
      <c r="M6" s="0" t="n">
        <v>0.000642007848601131</v>
      </c>
      <c r="N6" s="0" t="n">
        <v>0.00143032768660713</v>
      </c>
      <c r="O6" s="0" t="n">
        <v>0.000621478013598814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0.000128626372681807</v>
      </c>
      <c r="L7" s="0" t="n">
        <v>4.89214258937498E-005</v>
      </c>
      <c r="M7" s="0" t="n">
        <v>0.000155890335924323</v>
      </c>
      <c r="N7" s="0" t="n">
        <v>0.0014204469508936</v>
      </c>
      <c r="O7" s="0" t="n">
        <v>0.000622210706275744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0.00045062958080113</v>
      </c>
      <c r="L8" s="0" t="n">
        <v>0.000141035952141036</v>
      </c>
      <c r="M8" s="0" t="n">
        <v>0.000447196609761542</v>
      </c>
      <c r="N8" s="0" t="n">
        <v>0.00141461405624513</v>
      </c>
      <c r="O8" s="0" t="n">
        <v>0.00062198537519328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5.40752131798306E-005</v>
      </c>
      <c r="L9" s="0" t="n">
        <v>2.53909471151205E-005</v>
      </c>
      <c r="M9" s="0" t="n">
        <v>5.82078559614588E-005</v>
      </c>
      <c r="N9" s="0" t="n">
        <v>0.00141088774764453</v>
      </c>
      <c r="O9" s="0" t="n">
        <v>0.000615826712796971</v>
      </c>
      <c r="P9" s="0" t="s">
        <v>4</v>
      </c>
      <c r="Q9" s="0" t="n">
        <v>12</v>
      </c>
    </row>
    <row r="15" customFormat="false" ht="14.25" hidden="false" customHeight="false" outlineLevel="0" collapsed="false">
      <c r="F15" s="0" t="n">
        <f aca="false">100*100</f>
        <v>10000</v>
      </c>
    </row>
    <row r="16" customFormat="false" ht="14.25" hidden="false" customHeight="false" outlineLevel="0" collapsed="false">
      <c r="F16" s="0" t="n">
        <f aca="false">491/F15</f>
        <v>0.0491</v>
      </c>
      <c r="G16" s="0" t="n">
        <f aca="false">F16*100</f>
        <v>4.91</v>
      </c>
    </row>
    <row r="17" customFormat="false" ht="14.25" hidden="false" customHeight="false" outlineLevel="0" collapsed="false">
      <c r="F17" s="0" t="n">
        <f aca="false">100/F15</f>
        <v>0.01</v>
      </c>
      <c r="G17" s="0" t="n">
        <f aca="false">F17*100</f>
        <v>1</v>
      </c>
    </row>
    <row r="18" customFormat="false" ht="14.25" hidden="false" customHeight="false" outlineLevel="0" collapsed="false">
      <c r="G18" s="0" t="n">
        <f aca="false">SUM(G16:G17)</f>
        <v>5.91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0.000518568895007622</v>
      </c>
      <c r="L2" s="0" t="n">
        <v>0.000528467285522328</v>
      </c>
      <c r="M2" s="0" t="n">
        <v>0.000623822744968</v>
      </c>
      <c r="N2" s="0" t="n">
        <v>0.012829162815933</v>
      </c>
      <c r="O2" s="0" t="n">
        <v>0.00788319550091748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0.000475875465384973</v>
      </c>
      <c r="L3" s="0" t="n">
        <v>0.000206533313048243</v>
      </c>
      <c r="M3" s="0" t="n">
        <v>0.000459529700692027</v>
      </c>
      <c r="N3" s="0" t="n">
        <v>0.00663071445806275</v>
      </c>
      <c r="O3" s="0" t="n">
        <v>0.00420294785586464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0.000234652405235752</v>
      </c>
      <c r="L4" s="0" t="n">
        <v>0.000118381572948385</v>
      </c>
      <c r="M4" s="0" t="n">
        <v>0.000198954772869689</v>
      </c>
      <c r="N4" s="0" t="n">
        <v>0.00168646132212093</v>
      </c>
      <c r="O4" s="0" t="n">
        <v>0.00128989138413662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0.000642186767625085</v>
      </c>
      <c r="L5" s="0" t="n">
        <v>0.000204804002694163</v>
      </c>
      <c r="M5" s="0" t="n">
        <v>0.000488786063224279</v>
      </c>
      <c r="N5" s="0" t="n">
        <v>0.00128813885787647</v>
      </c>
      <c r="O5" s="0" t="n">
        <v>0.000942147398361129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6.27828308315229E-005</v>
      </c>
      <c r="L6" s="0" t="n">
        <v>3.09717422234582E-005</v>
      </c>
      <c r="M6" s="0" t="n">
        <v>9.06897589306997E-005</v>
      </c>
      <c r="N6" s="0" t="n">
        <v>0.00139506030299241</v>
      </c>
      <c r="O6" s="0" t="n">
        <v>0.000680095397422559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0.000111525684821841</v>
      </c>
      <c r="L7" s="0" t="n">
        <v>4.78103847052619E-005</v>
      </c>
      <c r="M7" s="0" t="n">
        <v>0.0001610304170002</v>
      </c>
      <c r="N7" s="0" t="n">
        <v>0.00140841968869305</v>
      </c>
      <c r="O7" s="0" t="n">
        <v>0.000649330617901664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7.92755816542337E-005</v>
      </c>
      <c r="L8" s="0" t="n">
        <v>3.0529580153237E-005</v>
      </c>
      <c r="M8" s="0" t="n">
        <v>8.92149843363087E-005</v>
      </c>
      <c r="N8" s="0" t="n">
        <v>0.00141911676602667</v>
      </c>
      <c r="O8" s="0" t="n">
        <v>0.000625195086954179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0.000128626372681807</v>
      </c>
      <c r="L9" s="0" t="n">
        <v>4.89214258937498E-005</v>
      </c>
      <c r="M9" s="0" t="n">
        <v>0.000155890335924323</v>
      </c>
      <c r="N9" s="0" t="n">
        <v>0.0014204469508936</v>
      </c>
      <c r="O9" s="0" t="n">
        <v>0.000622210706275744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0.000134875361979332</v>
      </c>
      <c r="L10" s="0" t="n">
        <v>5.05882799115591E-005</v>
      </c>
      <c r="M10" s="0" t="n">
        <v>0.00016951401214326</v>
      </c>
      <c r="N10" s="0" t="n">
        <v>0.0014215165750711</v>
      </c>
      <c r="O10" s="0" t="n">
        <v>0.000619828594150279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0.00014400757046761</v>
      </c>
      <c r="L11" s="0" t="n">
        <v>5.43699987935461E-005</v>
      </c>
      <c r="M11" s="0" t="n">
        <v>0.000178410990359165</v>
      </c>
      <c r="N11" s="0" t="n">
        <v>0.0014216493162608</v>
      </c>
      <c r="O11" s="0" t="n">
        <v>0.000619531171833028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0.00015810260388405</v>
      </c>
      <c r="L12" s="0" t="n">
        <v>5.9766610616856E-005</v>
      </c>
      <c r="M12" s="0" t="n">
        <v>0.00019145322737495</v>
      </c>
      <c r="N12" s="0" t="n">
        <v>0.00142175677613126</v>
      </c>
      <c r="O12" s="0" t="n">
        <v>0.000619293291795899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0.000161764169018141</v>
      </c>
      <c r="L13" s="0" t="n">
        <v>6.06937594906217E-005</v>
      </c>
      <c r="M13" s="0" t="n">
        <v>0.000193705909071816</v>
      </c>
      <c r="N13" s="0" t="n">
        <v>0.00142176658673686</v>
      </c>
      <c r="O13" s="0" t="n">
        <v>0.000619263507456793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0.000164760526564993</v>
      </c>
      <c r="L14" s="0" t="n">
        <v>6.14861829936587E-005</v>
      </c>
      <c r="M14" s="0" t="n">
        <v>0.000195636460703964</v>
      </c>
      <c r="N14" s="0" t="n">
        <v>0.00142178319298407</v>
      </c>
      <c r="O14" s="0" t="n">
        <v>0.000619239792079398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1.39951525765996</v>
      </c>
      <c r="L2" s="0" t="n">
        <v>0.968690733488027</v>
      </c>
      <c r="M2" s="0" t="n">
        <v>0.693455447154929</v>
      </c>
      <c r="N2" s="0" t="n">
        <v>1.6226630558003</v>
      </c>
      <c r="O2" s="0" t="n">
        <v>0.22076486570397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0.000185342282344727</v>
      </c>
      <c r="L3" s="0" t="n">
        <v>0.000107847835120733</v>
      </c>
      <c r="M3" s="0" t="n">
        <v>0.000214871812887042</v>
      </c>
      <c r="N3" s="0" t="n">
        <v>0.00172122202976914</v>
      </c>
      <c r="O3" s="0" t="n">
        <v>0.000781048392573875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0.00189499749680863</v>
      </c>
      <c r="L4" s="0" t="n">
        <v>0.000505328334438854</v>
      </c>
      <c r="M4" s="0" t="n">
        <v>0.00101359124037828</v>
      </c>
      <c r="N4" s="0" t="n">
        <v>0.00116557770803625</v>
      </c>
      <c r="O4" s="0" t="n">
        <v>0.000656396889669864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9.85315830717264E-005</v>
      </c>
      <c r="L5" s="0" t="n">
        <v>2.93248848428043E-005</v>
      </c>
      <c r="M5" s="0" t="n">
        <v>7.30312976834346E-005</v>
      </c>
      <c r="N5" s="0" t="n">
        <v>0.0010613686806391</v>
      </c>
      <c r="O5" s="0" t="n">
        <v>0.000620458135875161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0.000128626372681807</v>
      </c>
      <c r="L6" s="0" t="n">
        <v>4.89214258937498E-005</v>
      </c>
      <c r="M6" s="0" t="n">
        <v>0.000155890335924323</v>
      </c>
      <c r="N6" s="0" t="n">
        <v>0.0014204469508936</v>
      </c>
      <c r="O6" s="0" t="n">
        <v>0.000622210706275744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8.5819114290313E-005</v>
      </c>
      <c r="L7" s="0" t="n">
        <v>2.85855343388451E-005</v>
      </c>
      <c r="M7" s="0" t="n">
        <v>6.26689834510092E-005</v>
      </c>
      <c r="N7" s="0" t="n">
        <v>0.0010602806058258</v>
      </c>
      <c r="O7" s="0" t="n">
        <v>0.000621215528429405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0.000184356147256868</v>
      </c>
      <c r="L8" s="0" t="n">
        <v>6.81783471169753E-005</v>
      </c>
      <c r="M8" s="0" t="n">
        <v>0.000148337101527601</v>
      </c>
      <c r="N8" s="0" t="n">
        <v>0.00116557823662172</v>
      </c>
      <c r="O8" s="0" t="n">
        <v>0.000657196297007326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0.000222190046993956</v>
      </c>
      <c r="L9" s="0" t="n">
        <v>0.000129321367874016</v>
      </c>
      <c r="M9" s="0" t="n">
        <v>0.00022659657641141</v>
      </c>
      <c r="N9" s="0" t="n">
        <v>0.00172122212348819</v>
      </c>
      <c r="O9" s="0" t="n">
        <v>0.000781643430510431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1.39963930260562</v>
      </c>
      <c r="L10" s="0" t="n">
        <v>0.968793079939545</v>
      </c>
      <c r="M10" s="0" t="n">
        <v>0.693519172530686</v>
      </c>
      <c r="N10" s="0" t="n">
        <v>1.62266308986144</v>
      </c>
      <c r="O10" s="0" t="n">
        <v>0.22076486124879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2026-07-14T16:52:55Z</dcterms:created>
  <dc:creator>openpyxl</dc:creator>
  <dc:description/>
  <dc:language>en-US</dc:language>
  <cp:lastModifiedBy/>
  <dcterms:modified xsi:type="dcterms:W3CDTF">2026-07-14T19:14:27Z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