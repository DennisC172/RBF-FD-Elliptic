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Stencil Nodes" sheetId="2" state="visible" r:id="rId4"/>
    <sheet name="Center Rings" sheetId="3" state="visible" r:id="rId5"/>
    <sheet name="Eigenvalue Ratio" sheetId="4" state="visible" r:id="rId6"/>
    <sheet name="Eigenvector Ang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<sst xmlns="http://schemas.openxmlformats.org/spreadsheetml/2006/main" count="75" uniqueCount="17">
  <si>
    <t xml:space="preserve">Nx</t>
  </si>
  <si>
    <t xml:space="preserve">Ny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</si>
  <si>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</si>
  <si>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</si>
  <si>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</si>
  <si>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</si>
  <si>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</si>
  <si>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</si>
  <si>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</si>
  <si>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max_error_rel</t>
  </si>
  <si>
    <t xml:space="preserve">l2_error_rel</t>
  </si>
  <si>
    <t xml:space="preserve">energy_error_rel</t>
  </si>
  <si>
    <t xml:space="preserve">varied_param</t>
  </si>
  <si>
    <t xml:space="preserve">varied_value</t>
  </si>
  <si>
    <t xml:space="preserve">N_int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</si>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</sst>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(Grid 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Size'!$N$2</c:f>
              <c:numCache>
                <c:formatCode>General</c:formatCode>
                <c:ptCount val="1"/>
                <c:pt idx="0">
                  <c:v>25</c:v>
                </c:pt>
              </c:numCache>
            </c:numRef>
          </c:xVal>
          <c:yVal>
            <c:numRef>
              <c:f>'Grid Size'!$J$2</c:f>
              <c:numCache>
                <c:formatCode>General</c:formatCode>
                <c:ptCount val="1"/>
                <c:pt idx="0">
                  <c:v>0.222445938343355</c:v>
                </c:pt>
              </c:numCache>
            </c:numRef>
          </c:yVal>
          <c:smooth val="1"/>
        </c:ser>
        <c:axId val="14559678"/>
        <c:axId val="40179942"/>
      </c:scatterChart>
      <c:valAx>
        <c:axId val="145596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79942"/>
        <c:crosses val="autoZero"/>
        <c:crossBetween val="midCat"/>
      </c:valAx>
      <c:valAx>
        <c:axId val="4017994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5967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(Grid 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Size'!$N$2</c:f>
              <c:numCache>
                <c:formatCode>General</c:formatCode>
                <c:ptCount val="1"/>
                <c:pt idx="0">
                  <c:v>25</c:v>
                </c:pt>
              </c:numCache>
            </c:numRef>
          </c:xVal>
          <c:yVal>
            <c:numRef>
              <c:f>'Grid Size'!$K$2</c:f>
              <c:numCache>
                <c:formatCode>General</c:formatCode>
                <c:ptCount val="1"/>
                <c:pt idx="0">
                  <c:v>0.207464822664134</c:v>
                </c:pt>
              </c:numCache>
            </c:numRef>
          </c:yVal>
          <c:smooth val="1"/>
        </c:ser>
        <c:axId val="49368160"/>
        <c:axId val="85637320"/>
      </c:scatterChart>
      <c:valAx>
        <c:axId val="4936816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37320"/>
        <c:crosses val="autoZero"/>
        <c:crossBetween val="midCat"/>
      </c:valAx>
      <c:valAx>
        <c:axId val="8563732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6816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(Grid Size)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Size'!$N$2</c:f>
              <c:numCache>
                <c:formatCode>General</c:formatCode>
                <c:ptCount val="1"/>
                <c:pt idx="0">
                  <c:v>25</c:v>
                </c:pt>
              </c:numCache>
            </c:numRef>
          </c:xVal>
          <c:yVal>
            <c:numRef>
              <c:f>'Grid Size'!$L$2</c:f>
              <c:numCache>
                <c:formatCode>General</c:formatCode>
                <c:ptCount val="1"/>
                <c:pt idx="0">
                  <c:v>0.274567277257366</c:v>
                </c:pt>
              </c:numCache>
            </c:numRef>
          </c:yVal>
          <c:smooth val="1"/>
        </c:ser>
        <c:axId val="99338703"/>
        <c:axId val="74684245"/>
      </c:scatterChart>
      <c:valAx>
        <c:axId val="9933870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84245"/>
        <c:crosses val="autoZero"/>
        <c:crossBetween val="midCat"/>
      </c:valAx>
      <c:valAx>
        <c:axId val="7468424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3870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(Stencil Nodes)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Nodes'!$N$2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'Stencil Nodes'!$J$2</c:f>
              <c:numCache>
                <c:formatCode>General</c:formatCode>
                <c:ptCount val="1"/>
                <c:pt idx="0">
                  <c:v>0.222445938343355</c:v>
                </c:pt>
              </c:numCache>
            </c:numRef>
          </c:yVal>
          <c:smooth val="1"/>
        </c:ser>
        <c:axId val="42926471"/>
        <c:axId val="20239555"/>
      </c:scatterChart>
      <c:valAx>
        <c:axId val="4292647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39555"/>
        <c:crosses val="autoZero"/>
        <c:crossBetween val="midCat"/>
      </c:valAx>
      <c:valAx>
        <c:axId val="2023955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2647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(Stencil Nodes)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Nodes'!$N$2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'Stencil Nodes'!$K$2</c:f>
              <c:numCache>
                <c:formatCode>General</c:formatCode>
                <c:ptCount val="1"/>
                <c:pt idx="0">
                  <c:v>0.207464822664134</c:v>
                </c:pt>
              </c:numCache>
            </c:numRef>
          </c:yVal>
          <c:smooth val="1"/>
        </c:ser>
        <c:axId val="45465280"/>
        <c:axId val="19598439"/>
      </c:scatterChart>
      <c:valAx>
        <c:axId val="454652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98439"/>
        <c:crosses val="autoZero"/>
        <c:crossBetween val="midCat"/>
      </c:valAx>
      <c:valAx>
        <c:axId val="1959843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6528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(Stencil Nodes)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Nodes'!$N$2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'Stencil Nodes'!$L$2</c:f>
              <c:numCache>
                <c:formatCode>General</c:formatCode>
                <c:ptCount val="1"/>
                <c:pt idx="0">
                  <c:v>0.274567277257366</c:v>
                </c:pt>
              </c:numCache>
            </c:numRef>
          </c:yVal>
          <c:smooth val="1"/>
        </c:ser>
        <c:axId val="83911724"/>
        <c:axId val="54973486"/>
      </c:scatterChart>
      <c:valAx>
        <c:axId val="839117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973486"/>
        <c:crosses val="autoZero"/>
        <c:crossBetween val="midCat"/>
      </c:valAx>
      <c:valAx>
        <c:axId val="5497348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1172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(Center Rings)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Rings'!$N$2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'Center Rings'!$J$2</c:f>
              <c:numCache>
                <c:formatCode>General</c:formatCode>
                <c:ptCount val="1"/>
                <c:pt idx="0">
                  <c:v>0.222445938343355</c:v>
                </c:pt>
              </c:numCache>
            </c:numRef>
          </c:yVal>
          <c:smooth val="1"/>
        </c:ser>
        <c:axId val="93543861"/>
        <c:axId val="50276719"/>
      </c:scatterChart>
      <c:valAx>
        <c:axId val="9354386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76719"/>
        <c:crosses val="autoZero"/>
        <c:crossBetween val="midCat"/>
      </c:valAx>
      <c:valAx>
        <c:axId val="5027671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4386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(Center Rings)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Rings'!$N$2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'Center Rings'!$K$2</c:f>
              <c:numCache>
                <c:formatCode>General</c:formatCode>
                <c:ptCount val="1"/>
                <c:pt idx="0">
                  <c:v>0.207464822664134</c:v>
                </c:pt>
              </c:numCache>
            </c:numRef>
          </c:yVal>
          <c:smooth val="1"/>
        </c:ser>
        <c:axId val="10173896"/>
        <c:axId val="31875932"/>
      </c:scatterChart>
      <c:valAx>
        <c:axId val="1017389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75932"/>
        <c:crosses val="autoZero"/>
        <c:crossBetween val="midCat"/>
      </c:valAx>
      <c:valAx>
        <c:axId val="3187593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7389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(Center Rings)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Rings'!$N$2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'Center Rings'!$L$2</c:f>
              <c:numCache>
                <c:formatCode>General</c:formatCode>
                <c:ptCount val="1"/>
                <c:pt idx="0">
                  <c:v>0.274567277257366</c:v>
                </c:pt>
              </c:numCache>
            </c:numRef>
          </c:yVal>
          <c:smooth val="1"/>
        </c:ser>
        <c:axId val="14366640"/>
        <c:axId val="80932149"/>
      </c:scatterChart>
      <c:valAx>
        <c:axId val="1436664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32149"/>
        <c:crosses val="autoZero"/>
        <c:crossBetween val="midCat"/>
      </c:valAx>
      <c:valAx>
        <c:axId val="8093214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6664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(Eigenvalue Ratio)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Ratio'!$N$2</c:f>
              <c:numCache>
                <c:formatCode>General</c:formatCode>
                <c:ptCount val="1"/>
                <c:pt idx="0">
                  <c:v>0.005</c:v>
                </c:pt>
              </c:numCache>
            </c:numRef>
          </c:xVal>
          <c:yVal>
            <c:numRef>
              <c:f>'Eigenvalue Ratio'!$J$2</c:f>
              <c:numCache>
                <c:formatCode>General</c:formatCode>
                <c:ptCount val="1"/>
                <c:pt idx="0">
                  <c:v>0.222445938343355</c:v>
                </c:pt>
              </c:numCache>
            </c:numRef>
          </c:yVal>
          <c:smooth val="1"/>
        </c:ser>
        <c:axId val="62771221"/>
        <c:axId val="19654314"/>
      </c:scatterChart>
      <c:valAx>
        <c:axId val="6277122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54314"/>
        <c:crosses val="autoZero"/>
        <c:crossBetween val="midCat"/>
      </c:valAx>
      <c:valAx>
        <c:axId val="1965431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7122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(Eigenvalue Ratio)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Ratio'!$N$2</c:f>
              <c:numCache>
                <c:formatCode>General</c:formatCode>
                <c:ptCount val="1"/>
                <c:pt idx="0">
                  <c:v>0.005</c:v>
                </c:pt>
              </c:numCache>
            </c:numRef>
          </c:xVal>
          <c:yVal>
            <c:numRef>
              <c:f>'Eigenvalue Ratio'!$K$2</c:f>
              <c:numCache>
                <c:formatCode>General</c:formatCode>
                <c:ptCount val="1"/>
                <c:pt idx="0">
                  <c:v>0.207464822664134</c:v>
                </c:pt>
              </c:numCache>
            </c:numRef>
          </c:yVal>
          <c:smooth val="1"/>
        </c:ser>
        <c:axId val="86970019"/>
        <c:axId val="46718275"/>
      </c:scatterChart>
      <c:valAx>
        <c:axId val="8697001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18275"/>
        <c:crosses val="autoZero"/>
        <c:crossBetween val="midCat"/>
      </c:valAx>
      <c:valAx>
        <c:axId val="4671827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7001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(Eigenvalue Ratio)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Ratio'!$N$2</c:f>
              <c:numCache>
                <c:formatCode>General</c:formatCode>
                <c:ptCount val="1"/>
                <c:pt idx="0">
                  <c:v>0.005</c:v>
                </c:pt>
              </c:numCache>
            </c:numRef>
          </c:xVal>
          <c:yVal>
            <c:numRef>
              <c:f>'Eigenvalue Ratio'!$L$2</c:f>
              <c:numCache>
                <c:formatCode>General</c:formatCode>
                <c:ptCount val="1"/>
                <c:pt idx="0">
                  <c:v>0.274567277257366</c:v>
                </c:pt>
              </c:numCache>
            </c:numRef>
          </c:yVal>
          <c:smooth val="1"/>
        </c:ser>
        <c:axId val="384562"/>
        <c:axId val="9459126"/>
      </c:scatterChart>
      <c:valAx>
        <c:axId val="3845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9126"/>
        <c:crosses val="autoZero"/>
        <c:crossBetween val="midCat"/>
      </c:valAx>
      <c:valAx>
        <c:axId val="945912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56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max_error_rel vs varied_value (Eigenvector Angle)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Angle'!J1</c:f>
              <c:strCache>
                <c:ptCount val="1"/>
                <c:pt idx="0">
                  <c:v>max_error_rel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Angle'!$N$2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'Eigenvector Angle'!$J$2</c:f>
              <c:numCache>
                <c:formatCode>General</c:formatCode>
                <c:ptCount val="1"/>
                <c:pt idx="0">
                  <c:v>0.222445938343355</c:v>
                </c:pt>
              </c:numCache>
            </c:numRef>
          </c:yVal>
          <c:smooth val="1"/>
        </c:ser>
        <c:axId val="95044825"/>
        <c:axId val="63315775"/>
      </c:scatterChart>
      <c:valAx>
        <c:axId val="9504482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15775"/>
        <c:crosses val="autoZero"/>
        <c:crossBetween val="midCat"/>
      </c:valAx>
      <c:valAx>
        <c:axId val="6331577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max_error_rel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4482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l2_error_rel vs varied_value (Eigenvector Angle)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l2_error_rel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Angle'!$N$2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'Eigenvector Angle'!$K$2</c:f>
              <c:numCache>
                <c:formatCode>General</c:formatCode>
                <c:ptCount val="1"/>
                <c:pt idx="0">
                  <c:v>0.207464822664134</c:v>
                </c:pt>
              </c:numCache>
            </c:numRef>
          </c:yVal>
          <c:smooth val="1"/>
        </c:ser>
        <c:axId val="67204601"/>
        <c:axId val="52336207"/>
      </c:scatterChart>
      <c:valAx>
        <c:axId val="6720460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36207"/>
        <c:crosses val="autoZero"/>
        <c:crossBetween val="midCat"/>
      </c:valAx>
      <c:valAx>
        <c:axId val="5233620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l2_error_rel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0460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energy_error_rel vs varied_value (Eigenvector Angle)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Angle'!L1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Angle'!$N$2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'Eigenvector Angle'!$L$2</c:f>
              <c:numCache>
                <c:formatCode>General</c:formatCode>
                <c:ptCount val="1"/>
                <c:pt idx="0">
                  <c:v>0.274567277257366</c:v>
                </c:pt>
              </c:numCache>
            </c:numRef>
          </c:yVal>
          <c:smooth val="1"/>
        </c:ser>
        <c:axId val="42026491"/>
        <c:axId val="29748199"/>
      </c:scatterChart>
      <c:valAx>
        <c:axId val="4202649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varied_value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48199"/>
        <c:crosses val="autoZero"/>
        <c:crossBetween val="midCat"/>
      </c:valAx>
      <c:valAx>
        <c:axId val="2974819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energy_error_rel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2649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1421496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1" name="Chart 2"/>
        <xdr:cNvGraphicFramePr/>
      </xdr:nvGraphicFramePr>
      <xdr:xfrm>
        <a:off x="1421496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2" name="Chart 3"/>
        <xdr:cNvGraphicFramePr/>
      </xdr:nvGraphicFramePr>
      <xdr:xfrm>
        <a:off x="1421496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3" name="Chart 1"/>
        <xdr:cNvGraphicFramePr/>
      </xdr:nvGraphicFramePr>
      <xdr:xfrm>
        <a:off x="1456740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4" name="Chart 2"/>
        <xdr:cNvGraphicFramePr/>
      </xdr:nvGraphicFramePr>
      <xdr:xfrm>
        <a:off x="1456740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5" name="Chart 3"/>
        <xdr:cNvGraphicFramePr/>
      </xdr:nvGraphicFramePr>
      <xdr:xfrm>
        <a:off x="1456740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6" name="Chart 1"/>
        <xdr:cNvGraphicFramePr/>
      </xdr:nvGraphicFramePr>
      <xdr:xfrm>
        <a:off x="1421496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7" name="Chart 2"/>
        <xdr:cNvGraphicFramePr/>
      </xdr:nvGraphicFramePr>
      <xdr:xfrm>
        <a:off x="1421496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8" name="Chart 3"/>
        <xdr:cNvGraphicFramePr/>
      </xdr:nvGraphicFramePr>
      <xdr:xfrm>
        <a:off x="1421496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9" name="Chart 1"/>
        <xdr:cNvGraphicFramePr/>
      </xdr:nvGraphicFramePr>
      <xdr:xfrm>
        <a:off x="1421496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10" name="Chart 2"/>
        <xdr:cNvGraphicFramePr/>
      </xdr:nvGraphicFramePr>
      <xdr:xfrm>
        <a:off x="1421496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11" name="Chart 3"/>
        <xdr:cNvGraphicFramePr/>
      </xdr:nvGraphicFramePr>
      <xdr:xfrm>
        <a:off x="1421496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23</xdr:col>
      <xdr:colOff>507600</xdr:colOff>
      <xdr:row>18</xdr:row>
      <xdr:rowOff>1080</xdr:rowOff>
    </xdr:to>
    <xdr:graphicFrame>
      <xdr:nvGraphicFramePr>
        <xdr:cNvPr id="12" name="Chart 1"/>
        <xdr:cNvGraphicFramePr/>
      </xdr:nvGraphicFramePr>
      <xdr:xfrm>
        <a:off x="14214960" y="1904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0</xdr:rowOff>
    </xdr:from>
    <xdr:to>
      <xdr:col>23</xdr:col>
      <xdr:colOff>507600</xdr:colOff>
      <xdr:row>37</xdr:row>
      <xdr:rowOff>1080</xdr:rowOff>
    </xdr:to>
    <xdr:graphicFrame>
      <xdr:nvGraphicFramePr>
        <xdr:cNvPr id="13" name="Chart 2"/>
        <xdr:cNvGraphicFramePr/>
      </xdr:nvGraphicFramePr>
      <xdr:xfrm>
        <a:off x="14214960" y="38098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39</xdr:row>
      <xdr:rowOff>0</xdr:rowOff>
    </xdr:from>
    <xdr:to>
      <xdr:col>23</xdr:col>
      <xdr:colOff>507600</xdr:colOff>
      <xdr:row>56</xdr:row>
      <xdr:rowOff>1440</xdr:rowOff>
    </xdr:to>
    <xdr:graphicFrame>
      <xdr:nvGraphicFramePr>
        <xdr:cNvPr id="14" name="Chart 3"/>
        <xdr:cNvGraphicFramePr/>
      </xdr:nvGraphicFramePr>
      <xdr:xfrm>
        <a:off x="14214960" y="7429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21"/>
    <col collapsed="false" customWidth="true" hidden="false" outlineLevel="0" max="11" min="11" style="0" width="20"/>
    <col collapsed="false" customWidth="true" hidden="false" outlineLevel="0" max="12" min="12" style="0" width="21"/>
    <col collapsed="false" customWidth="true" hidden="false" outlineLevel="0" max="14" min="13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25</v>
      </c>
      <c r="B2" s="0" t="n">
        <v>25</v>
      </c>
      <c r="C2" s="0" t="n">
        <v>15</v>
      </c>
      <c r="D2" s="0" t="n">
        <v>5</v>
      </c>
      <c r="E2" s="0" t="n">
        <v>1</v>
      </c>
      <c r="F2" s="0" t="n">
        <v>0.005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0.222445938343355</v>
      </c>
      <c r="K2" s="0" t="n">
        <v>0.207464822664134</v>
      </c>
      <c r="L2" s="0" t="n">
        <v>0.274567277257366</v>
      </c>
      <c r="M2" s="0" t="s">
        <v>14</v>
      </c>
      <c r="N2" s="0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21"/>
    <col collapsed="false" customWidth="true" hidden="false" outlineLevel="0" max="11" min="11" style="0" width="20"/>
    <col collapsed="false" customWidth="true" hidden="false" outlineLevel="0" max="12" min="12" style="0" width="21"/>
    <col collapsed="false" customWidth="true" hidden="false" outlineLevel="0" max="13" min="13" style="0" width="19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25</v>
      </c>
      <c r="B2" s="0" t="n">
        <v>25</v>
      </c>
      <c r="C2" s="0" t="n">
        <v>15</v>
      </c>
      <c r="D2" s="0" t="n">
        <v>5</v>
      </c>
      <c r="E2" s="0" t="n">
        <v>1</v>
      </c>
      <c r="F2" s="0" t="n">
        <v>0.005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0.222445938343355</v>
      </c>
      <c r="K2" s="0" t="n">
        <v>0.207464822664134</v>
      </c>
      <c r="L2" s="0" t="n">
        <v>0.274567277257366</v>
      </c>
      <c r="M2" s="0" t="s">
        <v>2</v>
      </c>
      <c r="N2" s="0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21"/>
    <col collapsed="false" customWidth="true" hidden="false" outlineLevel="0" max="11" min="11" style="0" width="20"/>
    <col collapsed="false" customWidth="true" hidden="false" outlineLevel="0" max="12" min="12" style="0" width="21"/>
    <col collapsed="false" customWidth="true" hidden="false" outlineLevel="0" max="14" min="13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25</v>
      </c>
      <c r="B2" s="0" t="n">
        <v>25</v>
      </c>
      <c r="C2" s="0" t="n">
        <v>15</v>
      </c>
      <c r="D2" s="0" t="n">
        <v>5</v>
      </c>
      <c r="E2" s="0" t="n">
        <v>1</v>
      </c>
      <c r="F2" s="0" t="n">
        <v>0.005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0.222445938343355</v>
      </c>
      <c r="K2" s="0" t="n">
        <v>0.207464822664134</v>
      </c>
      <c r="L2" s="0" t="n">
        <v>0.274567277257366</v>
      </c>
      <c r="M2" s="0" t="s">
        <v>3</v>
      </c>
      <c r="N2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21"/>
    <col collapsed="false" customWidth="true" hidden="false" outlineLevel="0" max="11" min="11" style="0" width="20"/>
    <col collapsed="false" customWidth="true" hidden="false" outlineLevel="0" max="12" min="12" style="0" width="21"/>
    <col collapsed="false" customWidth="true" hidden="false" outlineLevel="0" max="14" min="13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25</v>
      </c>
      <c r="B2" s="0" t="n">
        <v>25</v>
      </c>
      <c r="C2" s="0" t="n">
        <v>15</v>
      </c>
      <c r="D2" s="0" t="n">
        <v>5</v>
      </c>
      <c r="E2" s="0" t="n">
        <v>1</v>
      </c>
      <c r="F2" s="0" t="n">
        <v>0.005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0.222445938343355</v>
      </c>
      <c r="K2" s="0" t="n">
        <v>0.207464822664134</v>
      </c>
      <c r="L2" s="0" t="n">
        <v>0.274567277257366</v>
      </c>
      <c r="M2" s="0" t="s">
        <v>15</v>
      </c>
      <c r="N2" s="0" t="n">
        <v>0.005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21"/>
    <col collapsed="false" customWidth="true" hidden="false" outlineLevel="0" max="11" min="11" style="0" width="20"/>
    <col collapsed="false" customWidth="true" hidden="false" outlineLevel="0" max="12" min="12" style="0" width="21"/>
    <col collapsed="false" customWidth="true" hidden="false" outlineLevel="0" max="14" min="13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25</v>
      </c>
      <c r="B2" s="0" t="n">
        <v>25</v>
      </c>
      <c r="C2" s="0" t="n">
        <v>15</v>
      </c>
      <c r="D2" s="0" t="n">
        <v>5</v>
      </c>
      <c r="E2" s="0" t="n">
        <v>1</v>
      </c>
      <c r="F2" s="0" t="n">
        <v>0.005</v>
      </c>
      <c r="G2" s="0" t="n">
        <v>12</v>
      </c>
      <c r="H2" s="1" t="b">
        <f aca="false">TRUE()</f>
        <v>1</v>
      </c>
      <c r="I2" s="1" t="b">
        <f aca="false">TRUE()</f>
        <v>1</v>
      </c>
      <c r="J2" s="0" t="n">
        <v>0.222445938343355</v>
      </c>
      <c r="K2" s="0" t="n">
        <v>0.207464822664134</v>
      </c>
      <c r="L2" s="0" t="n">
        <v>0.274567277257366</v>
      </c>
      <c r="M2" s="0" t="s">
        <v>16</v>
      </c>
      <c r="N2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2026-06-30T17:47:51Z</dcterms:created>
  <dc:creator>openpyxl</dc:creator>
  <dc:description/>
  <dc:language>en-US</dc:language>
  <cp:lastModifiedBy/>
  <dcterms:modified xsi:type="dcterms:W3CDTF">2026-07-07T16:25:49Z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