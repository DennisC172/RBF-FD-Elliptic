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c858\Documents\Projects\RBF-FD-Elliptic\Results\"/>
    </mc:Choice>
  </mc:AlternateContent>
  <xr:revisionPtr revIDLastSave="0" documentId="13_ncr:1_{68B69FF6-45E6-4BC1-9A6C-899AAF97D318}" xr6:coauthVersionLast="47" xr6:coauthVersionMax="47" xr10:uidLastSave="{00000000-0000-0000-0000-000000000000}"/>
  <bookViews>
    <workbookView xWindow="22932" yWindow="-108" windowWidth="23256" windowHeight="12456" activeTab="3" xr2:uid="{00000000-000D-0000-FFFF-FFFF00000000}"/>
  </bookViews>
  <sheets>
    <sheet name="Grid Size" sheetId="1" r:id="rId1"/>
    <sheet name="Length Scale" sheetId="2" r:id="rId2"/>
    <sheet name="Stencil Nodes" sheetId="3" r:id="rId3"/>
    <sheet name="Center Rings" sheetId="4" r:id="rId4"/>
    <sheet name="Eigenvalue Ratio" sheetId="5" r:id="rId5"/>
    <sheet name="Eigenvector Angl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4" l="1"/>
  <c r="G17" i="4"/>
  <c r="G16" i="4"/>
  <c r="F17" i="4"/>
  <c r="F15" i="4"/>
  <c r="F16" i="4"/>
  <c r="G21" i="3"/>
  <c r="G20" i="3"/>
  <c r="G19" i="3"/>
  <c r="F20" i="3"/>
  <c r="F19" i="3"/>
  <c r="F18" i="3"/>
  <c r="M15" i="1"/>
  <c r="M16" i="1"/>
  <c r="L16" i="1"/>
  <c r="I15" i="1"/>
  <c r="L15" i="1"/>
  <c r="L14" i="1"/>
  <c r="J16" i="1"/>
  <c r="J15" i="1"/>
  <c r="J17" i="1" s="1"/>
  <c r="I16" i="1"/>
  <c r="I14" i="1"/>
</calcChain>
</file>

<file path=xl/sharedStrings.xml><?xml version="1.0" encoding="utf-8"?>
<sst xmlns="http://schemas.openxmlformats.org/spreadsheetml/2006/main" count="167" uniqueCount="21">
  <si>
    <t>Nx</t>
  </si>
  <si>
    <t>Ny</t>
  </si>
  <si>
    <t>eps</t>
  </si>
  <si>
    <t>num_stencil_nodes</t>
  </si>
  <si>
    <t>num_rings</t>
  </si>
  <si>
    <t>eigenvalue 1</t>
  </si>
  <si>
    <t>eigenvalue 2</t>
  </si>
  <si>
    <t>radian = r/24</t>
  </si>
  <si>
    <t>augmentation</t>
  </si>
  <si>
    <t>sparse</t>
  </si>
  <si>
    <t>u_exact - u max_error_rel</t>
  </si>
  <si>
    <t>u_exact - u l2_error_rel</t>
  </si>
  <si>
    <t>energy_error_rel</t>
  </si>
  <si>
    <t>Lu_exact - F max_residual_rel</t>
  </si>
  <si>
    <t>Lu_exact - F l2_residual_rel</t>
  </si>
  <si>
    <t>varied_param</t>
  </si>
  <si>
    <t>varied_value</t>
  </si>
  <si>
    <t>N_int</t>
  </si>
  <si>
    <t>Inverse Length Scale</t>
  </si>
  <si>
    <t>eig_2</t>
  </si>
  <si>
    <t>rad24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</si>
</sst>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7"/>
  <sheetViews>
    <sheetView workbookViewId="0">
      <selection activeCell="M16" sqref="M16"/>
    </sheetView>
  </sheetViews>
  <sheetFormatPr defaultRowHeight="14.4" x14ac:dyDescent="0.3"/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>
        <v>20</v>
      </c>
      <c r="B2">
        <v>20</v>
      </c>
      <c r="C2">
        <v>3</v>
      </c>
      <c r="D2">
        <v>100</v>
      </c>
      <c r="E2">
        <v>10</v>
      </c>
      <c r="F2">
        <v>1</v>
      </c>
      <c r="G2">
        <v>5.0000000000000001E-3</v>
      </c>
      <c r="H2">
        <v>12</v>
      </c>
      <c r="I2" t="b">
        <v>0</v>
      </c>
      <c r="J2" t="b">
        <v>1</v>
      </c>
      <c r="K2">
        <v>1.0867093154684711E-2</v>
      </c>
      <c r="L2">
        <v>3.280088691133384E-3</v>
      </c>
      <c r="M2">
        <v>1.3212917463073059</v>
      </c>
      <c r="N2">
        <v>2.1521180709315808E-2</v>
      </c>
      <c r="O2">
        <v>6.9093892123939307E-3</v>
      </c>
      <c r="P2" t="s">
        <v>17</v>
      </c>
      <c r="Q2">
        <v>20</v>
      </c>
    </row>
    <row r="3" spans="1:17" x14ac:dyDescent="0.3">
      <c r="A3">
        <v>30</v>
      </c>
      <c r="B3">
        <v>30</v>
      </c>
      <c r="C3">
        <v>3</v>
      </c>
      <c r="D3">
        <v>100</v>
      </c>
      <c r="E3">
        <v>10</v>
      </c>
      <c r="F3">
        <v>1</v>
      </c>
      <c r="G3">
        <v>5.0000000000000001E-3</v>
      </c>
      <c r="H3">
        <v>12</v>
      </c>
      <c r="I3" t="b">
        <v>0</v>
      </c>
      <c r="J3" t="b">
        <v>1</v>
      </c>
      <c r="K3">
        <v>9.1626084346055911E-4</v>
      </c>
      <c r="L3">
        <v>2.3186525874139161E-4</v>
      </c>
      <c r="M3">
        <v>9.8306191999305713E-4</v>
      </c>
      <c r="N3">
        <v>1.8846181744029749E-3</v>
      </c>
      <c r="O3">
        <v>3.6264977968908629E-4</v>
      </c>
      <c r="P3" t="s">
        <v>17</v>
      </c>
      <c r="Q3">
        <v>30</v>
      </c>
    </row>
    <row r="4" spans="1:17" x14ac:dyDescent="0.3">
      <c r="A4">
        <v>50</v>
      </c>
      <c r="B4">
        <v>50</v>
      </c>
      <c r="C4">
        <v>3</v>
      </c>
      <c r="D4">
        <v>100</v>
      </c>
      <c r="E4">
        <v>10</v>
      </c>
      <c r="F4">
        <v>1</v>
      </c>
      <c r="G4">
        <v>5.0000000000000001E-3</v>
      </c>
      <c r="H4">
        <v>12</v>
      </c>
      <c r="I4" t="b">
        <v>0</v>
      </c>
      <c r="J4" t="b">
        <v>1</v>
      </c>
      <c r="K4">
        <v>2.7657961836505479E-4</v>
      </c>
      <c r="L4">
        <v>7.101561443180296E-5</v>
      </c>
      <c r="M4">
        <v>1.7328739513280581E-4</v>
      </c>
      <c r="N4">
        <v>3.6647629544749949E-4</v>
      </c>
      <c r="O4">
        <v>1.7495094220245641E-4</v>
      </c>
      <c r="P4" t="s">
        <v>17</v>
      </c>
      <c r="Q4">
        <v>50</v>
      </c>
    </row>
    <row r="5" spans="1:17" x14ac:dyDescent="0.3">
      <c r="A5">
        <v>75</v>
      </c>
      <c r="B5">
        <v>75</v>
      </c>
      <c r="C5">
        <v>3</v>
      </c>
      <c r="D5">
        <v>100</v>
      </c>
      <c r="E5">
        <v>10</v>
      </c>
      <c r="F5">
        <v>1</v>
      </c>
      <c r="G5">
        <v>5.0000000000000001E-3</v>
      </c>
      <c r="H5">
        <v>12</v>
      </c>
      <c r="I5" t="b">
        <v>0</v>
      </c>
      <c r="J5" t="b">
        <v>1</v>
      </c>
      <c r="K5">
        <v>2.6643297680048081E-5</v>
      </c>
      <c r="L5">
        <v>9.2729480576261978E-6</v>
      </c>
      <c r="M5">
        <v>3.1301398821949848E-5</v>
      </c>
      <c r="N5">
        <v>2.2353908003013229E-4</v>
      </c>
      <c r="O5">
        <v>4.1516611715869887E-5</v>
      </c>
      <c r="P5" t="s">
        <v>17</v>
      </c>
      <c r="Q5">
        <v>75</v>
      </c>
    </row>
    <row r="6" spans="1:17" x14ac:dyDescent="0.3">
      <c r="A6">
        <v>100</v>
      </c>
      <c r="B6">
        <v>100</v>
      </c>
      <c r="C6">
        <v>3</v>
      </c>
      <c r="D6">
        <v>100</v>
      </c>
      <c r="E6">
        <v>10</v>
      </c>
      <c r="F6">
        <v>1</v>
      </c>
      <c r="G6">
        <v>5.0000000000000001E-3</v>
      </c>
      <c r="H6">
        <v>12</v>
      </c>
      <c r="I6" t="b">
        <v>0</v>
      </c>
      <c r="J6" t="b">
        <v>1</v>
      </c>
      <c r="K6">
        <v>1.2862637268180681E-4</v>
      </c>
      <c r="L6">
        <v>4.8921425893749773E-5</v>
      </c>
      <c r="M6">
        <v>1.558903359243233E-4</v>
      </c>
      <c r="N6">
        <v>1.420446950893599E-3</v>
      </c>
      <c r="O6">
        <v>6.2221070627574426E-4</v>
      </c>
      <c r="P6" t="s">
        <v>17</v>
      </c>
      <c r="Q6">
        <v>100</v>
      </c>
    </row>
    <row r="7" spans="1:17" x14ac:dyDescent="0.3">
      <c r="A7">
        <v>125</v>
      </c>
      <c r="B7">
        <v>125</v>
      </c>
      <c r="C7">
        <v>3</v>
      </c>
      <c r="D7">
        <v>100</v>
      </c>
      <c r="E7">
        <v>10</v>
      </c>
      <c r="F7">
        <v>1</v>
      </c>
      <c r="G7">
        <v>5.0000000000000001E-3</v>
      </c>
      <c r="H7">
        <v>12</v>
      </c>
      <c r="I7" t="b">
        <v>0</v>
      </c>
      <c r="J7" t="b">
        <v>1</v>
      </c>
      <c r="K7">
        <v>3.7945141654364877E-5</v>
      </c>
      <c r="L7">
        <v>1.5664246358152721E-5</v>
      </c>
      <c r="M7">
        <v>4.399236554917827E-5</v>
      </c>
      <c r="N7">
        <v>8.7747528453334302E-4</v>
      </c>
      <c r="O7">
        <v>2.5113991471662931E-4</v>
      </c>
      <c r="P7" t="s">
        <v>17</v>
      </c>
      <c r="Q7">
        <v>125</v>
      </c>
    </row>
    <row r="8" spans="1:17" x14ac:dyDescent="0.3">
      <c r="A8">
        <v>150</v>
      </c>
      <c r="B8">
        <v>150</v>
      </c>
      <c r="C8">
        <v>3</v>
      </c>
      <c r="D8">
        <v>100</v>
      </c>
      <c r="E8">
        <v>10</v>
      </c>
      <c r="F8">
        <v>1</v>
      </c>
      <c r="G8">
        <v>5.0000000000000001E-3</v>
      </c>
      <c r="H8">
        <v>12</v>
      </c>
      <c r="I8" t="b">
        <v>0</v>
      </c>
      <c r="J8" t="b">
        <v>1</v>
      </c>
      <c r="K8">
        <v>4.856814338606963E-4</v>
      </c>
      <c r="L8">
        <v>1.2716637487942959E-4</v>
      </c>
      <c r="M8">
        <v>2.266490260339156E-4</v>
      </c>
      <c r="N8">
        <v>2.3732681647432481E-3</v>
      </c>
      <c r="O8">
        <v>5.8563598862603069E-4</v>
      </c>
      <c r="P8" t="s">
        <v>17</v>
      </c>
      <c r="Q8">
        <v>150</v>
      </c>
    </row>
    <row r="9" spans="1:17" x14ac:dyDescent="0.3">
      <c r="A9">
        <v>175</v>
      </c>
      <c r="B9">
        <v>175</v>
      </c>
      <c r="C9">
        <v>3</v>
      </c>
      <c r="D9">
        <v>100</v>
      </c>
      <c r="E9">
        <v>10</v>
      </c>
      <c r="F9">
        <v>1</v>
      </c>
      <c r="G9">
        <v>5.0000000000000001E-3</v>
      </c>
      <c r="H9">
        <v>12</v>
      </c>
      <c r="I9" t="b">
        <v>0</v>
      </c>
      <c r="J9" t="b">
        <v>1</v>
      </c>
      <c r="K9">
        <v>1.184558987940551E-3</v>
      </c>
      <c r="L9">
        <v>3.2006841515406972E-4</v>
      </c>
      <c r="M9">
        <v>5.91208956711761E-4</v>
      </c>
      <c r="N9">
        <v>2.5393204203851632E-3</v>
      </c>
      <c r="O9">
        <v>3.2784610267889161E-4</v>
      </c>
      <c r="P9" t="s">
        <v>17</v>
      </c>
      <c r="Q9">
        <v>175</v>
      </c>
    </row>
    <row r="10" spans="1:17" x14ac:dyDescent="0.3">
      <c r="A10">
        <v>200</v>
      </c>
      <c r="B10">
        <v>200</v>
      </c>
      <c r="C10">
        <v>3</v>
      </c>
      <c r="D10">
        <v>100</v>
      </c>
      <c r="E10">
        <v>10</v>
      </c>
      <c r="F10">
        <v>1</v>
      </c>
      <c r="G10">
        <v>5.0000000000000001E-3</v>
      </c>
      <c r="H10">
        <v>12</v>
      </c>
      <c r="I10" t="b">
        <v>0</v>
      </c>
      <c r="J10" t="b">
        <v>1</v>
      </c>
      <c r="K10">
        <v>2.3245711403967691E-4</v>
      </c>
      <c r="L10">
        <v>8.3401990360792232E-5</v>
      </c>
      <c r="M10">
        <v>1.5765816934709741E-4</v>
      </c>
      <c r="N10">
        <v>4.4438176050774127E-3</v>
      </c>
      <c r="O10">
        <v>4.3081779893209589E-4</v>
      </c>
      <c r="P10" t="s">
        <v>17</v>
      </c>
      <c r="Q10">
        <v>200</v>
      </c>
    </row>
    <row r="11" spans="1:17" x14ac:dyDescent="0.3">
      <c r="A11">
        <v>250</v>
      </c>
      <c r="B11">
        <v>250</v>
      </c>
      <c r="C11">
        <v>3</v>
      </c>
      <c r="D11">
        <v>100</v>
      </c>
      <c r="E11">
        <v>10</v>
      </c>
      <c r="F11">
        <v>1</v>
      </c>
      <c r="G11">
        <v>5.0000000000000001E-3</v>
      </c>
      <c r="H11">
        <v>12</v>
      </c>
      <c r="I11" t="b">
        <v>0</v>
      </c>
      <c r="J11" t="b">
        <v>1</v>
      </c>
      <c r="K11">
        <v>1.0611204575959609E-4</v>
      </c>
      <c r="L11">
        <v>3.5792013839764423E-5</v>
      </c>
      <c r="M11">
        <v>8.4320959318866646E-5</v>
      </c>
      <c r="N11">
        <v>1.318977438219853E-3</v>
      </c>
      <c r="O11">
        <v>1.2996007272955321E-4</v>
      </c>
      <c r="P11" t="s">
        <v>17</v>
      </c>
      <c r="Q11">
        <v>250</v>
      </c>
    </row>
    <row r="14" spans="1:17" x14ac:dyDescent="0.3">
      <c r="I14">
        <f>75*75</f>
        <v>5625</v>
      </c>
      <c r="L14">
        <f>100*100</f>
        <v>10000</v>
      </c>
    </row>
    <row r="15" spans="1:17" x14ac:dyDescent="0.3">
      <c r="I15">
        <f>100/I14</f>
        <v>1.7777777777777778E-2</v>
      </c>
      <c r="J15">
        <f>I15*100</f>
        <v>1.7777777777777777</v>
      </c>
      <c r="L15">
        <f>100/L14</f>
        <v>0.01</v>
      </c>
      <c r="M15">
        <f>L15*100</f>
        <v>1</v>
      </c>
    </row>
    <row r="16" spans="1:17" x14ac:dyDescent="0.3">
      <c r="I16">
        <f>347/I14</f>
        <v>6.168888888888889E-2</v>
      </c>
      <c r="J16">
        <f>I16*100</f>
        <v>6.1688888888888886</v>
      </c>
      <c r="L16">
        <f>347/L14</f>
        <v>3.4700000000000002E-2</v>
      </c>
      <c r="M16">
        <f>L16*100</f>
        <v>3.47</v>
      </c>
    </row>
    <row r="17" spans="10:10" x14ac:dyDescent="0.3">
      <c r="J17">
        <f>J16+J15</f>
        <v>7.9466666666666663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4"/>
  <sheetViews>
    <sheetView workbookViewId="0">
      <selection activeCell="L4" sqref="L4"/>
    </sheetView>
  </sheetViews>
  <sheetFormatPr defaultRowHeight="14.4" x14ac:dyDescent="0.3"/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>
        <v>100</v>
      </c>
      <c r="B2">
        <v>100</v>
      </c>
      <c r="C2">
        <v>0.05</v>
      </c>
      <c r="D2">
        <v>100</v>
      </c>
      <c r="E2">
        <v>10</v>
      </c>
      <c r="F2">
        <v>1</v>
      </c>
      <c r="G2">
        <v>5.0000000000000001E-3</v>
      </c>
      <c r="H2">
        <v>12</v>
      </c>
      <c r="I2" t="b">
        <v>0</v>
      </c>
      <c r="J2" t="b">
        <v>1</v>
      </c>
      <c r="K2">
        <v>178.21129615979191</v>
      </c>
      <c r="L2">
        <v>67.694777771283313</v>
      </c>
      <c r="M2">
        <v>36.266575008788323</v>
      </c>
      <c r="N2">
        <v>3.5024702576625967E-2</v>
      </c>
      <c r="O2">
        <v>7.4695198972904234E-3</v>
      </c>
      <c r="P2" t="s">
        <v>18</v>
      </c>
      <c r="Q2">
        <v>0.05</v>
      </c>
    </row>
    <row r="3" spans="1:17" x14ac:dyDescent="0.3">
      <c r="A3">
        <v>100</v>
      </c>
      <c r="B3">
        <v>100</v>
      </c>
      <c r="C3">
        <v>0.1</v>
      </c>
      <c r="D3">
        <v>100</v>
      </c>
      <c r="E3">
        <v>10</v>
      </c>
      <c r="F3">
        <v>1</v>
      </c>
      <c r="G3">
        <v>5.0000000000000001E-3</v>
      </c>
      <c r="H3">
        <v>12</v>
      </c>
      <c r="I3" t="b">
        <v>0</v>
      </c>
      <c r="J3" t="b">
        <v>1</v>
      </c>
      <c r="K3">
        <v>115.89858057167061</v>
      </c>
      <c r="L3">
        <v>38.075459095081897</v>
      </c>
      <c r="M3">
        <v>19.28220762172236</v>
      </c>
      <c r="N3">
        <v>3.3201602552720387E-2</v>
      </c>
      <c r="O3">
        <v>7.1734046616025778E-3</v>
      </c>
      <c r="P3" t="s">
        <v>18</v>
      </c>
      <c r="Q3">
        <v>0.1</v>
      </c>
    </row>
    <row r="4" spans="1:17" x14ac:dyDescent="0.3">
      <c r="A4">
        <v>100</v>
      </c>
      <c r="B4">
        <v>100</v>
      </c>
      <c r="C4">
        <v>0.5</v>
      </c>
      <c r="D4">
        <v>100</v>
      </c>
      <c r="E4">
        <v>10</v>
      </c>
      <c r="F4">
        <v>1</v>
      </c>
      <c r="G4">
        <v>5.0000000000000001E-3</v>
      </c>
      <c r="H4">
        <v>12</v>
      </c>
      <c r="I4" t="b">
        <v>0</v>
      </c>
      <c r="J4" t="b">
        <v>1</v>
      </c>
      <c r="K4">
        <v>7.5910848551191408E-4</v>
      </c>
      <c r="L4">
        <v>2.3283822350780311E-4</v>
      </c>
      <c r="M4">
        <v>3.699912936320866E-4</v>
      </c>
      <c r="N4">
        <v>1.642786086030613E-3</v>
      </c>
      <c r="O4">
        <v>7.4264471115316076E-4</v>
      </c>
      <c r="P4" t="s">
        <v>18</v>
      </c>
      <c r="Q4">
        <v>0.5</v>
      </c>
    </row>
    <row r="5" spans="1:17" x14ac:dyDescent="0.3">
      <c r="A5">
        <v>100</v>
      </c>
      <c r="B5">
        <v>100</v>
      </c>
      <c r="C5">
        <v>1</v>
      </c>
      <c r="D5">
        <v>100</v>
      </c>
      <c r="E5">
        <v>10</v>
      </c>
      <c r="F5">
        <v>1</v>
      </c>
      <c r="G5">
        <v>5.0000000000000001E-3</v>
      </c>
      <c r="H5">
        <v>12</v>
      </c>
      <c r="I5" t="b">
        <v>0</v>
      </c>
      <c r="J5" t="b">
        <v>1</v>
      </c>
      <c r="K5">
        <v>1.4036571472396151E-5</v>
      </c>
      <c r="L5">
        <v>4.983293196371654E-6</v>
      </c>
      <c r="M5">
        <v>7.7376139719131568E-6</v>
      </c>
      <c r="N5">
        <v>1.051034882348587E-4</v>
      </c>
      <c r="O5">
        <v>2.7094249905512728E-5</v>
      </c>
      <c r="P5" t="s">
        <v>18</v>
      </c>
      <c r="Q5">
        <v>1</v>
      </c>
    </row>
    <row r="6" spans="1:17" x14ac:dyDescent="0.3">
      <c r="A6">
        <v>100</v>
      </c>
      <c r="B6">
        <v>100</v>
      </c>
      <c r="C6">
        <v>2</v>
      </c>
      <c r="D6">
        <v>100</v>
      </c>
      <c r="E6">
        <v>10</v>
      </c>
      <c r="F6">
        <v>1</v>
      </c>
      <c r="G6">
        <v>5.0000000000000001E-3</v>
      </c>
      <c r="H6">
        <v>12</v>
      </c>
      <c r="I6" t="b">
        <v>0</v>
      </c>
      <c r="J6" t="b">
        <v>1</v>
      </c>
      <c r="K6">
        <v>7.9652292883993139E-3</v>
      </c>
      <c r="L6">
        <v>2.4823504647537189E-3</v>
      </c>
      <c r="M6">
        <v>3.4454551541802099E-3</v>
      </c>
      <c r="N6">
        <v>1.5065495594520379E-3</v>
      </c>
      <c r="O6">
        <v>4.5675471865270681E-4</v>
      </c>
      <c r="P6" t="s">
        <v>18</v>
      </c>
      <c r="Q6">
        <v>2</v>
      </c>
    </row>
    <row r="7" spans="1:17" x14ac:dyDescent="0.3">
      <c r="A7">
        <v>100</v>
      </c>
      <c r="B7">
        <v>100</v>
      </c>
      <c r="C7">
        <v>2.5</v>
      </c>
      <c r="D7">
        <v>100</v>
      </c>
      <c r="E7">
        <v>10</v>
      </c>
      <c r="F7">
        <v>1</v>
      </c>
      <c r="G7">
        <v>5.0000000000000001E-3</v>
      </c>
      <c r="H7">
        <v>12</v>
      </c>
      <c r="I7" t="b">
        <v>0</v>
      </c>
      <c r="J7" t="b">
        <v>1</v>
      </c>
      <c r="K7">
        <v>2.188499026384287E-4</v>
      </c>
      <c r="L7">
        <v>8.5198887288855378E-5</v>
      </c>
      <c r="M7">
        <v>2.6106497956159517E-4</v>
      </c>
      <c r="N7">
        <v>4.1239091847699037E-4</v>
      </c>
      <c r="O7">
        <v>1.806504073554363E-4</v>
      </c>
      <c r="P7" t="s">
        <v>18</v>
      </c>
      <c r="Q7">
        <v>2.5</v>
      </c>
    </row>
    <row r="8" spans="1:17" x14ac:dyDescent="0.3">
      <c r="A8">
        <v>100</v>
      </c>
      <c r="B8">
        <v>100</v>
      </c>
      <c r="C8">
        <v>3</v>
      </c>
      <c r="D8">
        <v>100</v>
      </c>
      <c r="E8">
        <v>10</v>
      </c>
      <c r="F8">
        <v>1</v>
      </c>
      <c r="G8">
        <v>5.0000000000000001E-3</v>
      </c>
      <c r="H8">
        <v>12</v>
      </c>
      <c r="I8" t="b">
        <v>0</v>
      </c>
      <c r="J8" t="b">
        <v>1</v>
      </c>
      <c r="K8">
        <v>1.2862637268180681E-4</v>
      </c>
      <c r="L8">
        <v>4.8921425893749773E-5</v>
      </c>
      <c r="M8">
        <v>1.558903359243233E-4</v>
      </c>
      <c r="N8">
        <v>1.420446950893599E-3</v>
      </c>
      <c r="O8">
        <v>6.2221070627574426E-4</v>
      </c>
      <c r="P8" t="s">
        <v>18</v>
      </c>
      <c r="Q8">
        <v>3</v>
      </c>
    </row>
    <row r="9" spans="1:17" x14ac:dyDescent="0.3">
      <c r="A9">
        <v>100</v>
      </c>
      <c r="B9">
        <v>100</v>
      </c>
      <c r="C9">
        <v>3.5</v>
      </c>
      <c r="D9">
        <v>100</v>
      </c>
      <c r="E9">
        <v>10</v>
      </c>
      <c r="F9">
        <v>1</v>
      </c>
      <c r="G9">
        <v>5.0000000000000001E-3</v>
      </c>
      <c r="H9">
        <v>12</v>
      </c>
      <c r="I9" t="b">
        <v>0</v>
      </c>
      <c r="J9" t="b">
        <v>1</v>
      </c>
      <c r="K9">
        <v>1.6572140277618699E-4</v>
      </c>
      <c r="L9">
        <v>7.0616456245245336E-5</v>
      </c>
      <c r="M9">
        <v>1.5455082382301769E-4</v>
      </c>
      <c r="N9">
        <v>1.627546189844785E-3</v>
      </c>
      <c r="O9">
        <v>1.334162986937797E-3</v>
      </c>
      <c r="P9" t="s">
        <v>18</v>
      </c>
      <c r="Q9">
        <v>3.5</v>
      </c>
    </row>
    <row r="10" spans="1:17" x14ac:dyDescent="0.3">
      <c r="A10">
        <v>100</v>
      </c>
      <c r="B10">
        <v>100</v>
      </c>
      <c r="C10">
        <v>4</v>
      </c>
      <c r="D10">
        <v>100</v>
      </c>
      <c r="E10">
        <v>10</v>
      </c>
      <c r="F10">
        <v>1</v>
      </c>
      <c r="G10">
        <v>5.0000000000000001E-3</v>
      </c>
      <c r="H10">
        <v>12</v>
      </c>
      <c r="I10" t="b">
        <v>0</v>
      </c>
      <c r="J10" t="b">
        <v>1</v>
      </c>
      <c r="K10">
        <v>1.9453361682069271E-4</v>
      </c>
      <c r="L10">
        <v>5.1212429166138381E-5</v>
      </c>
      <c r="M10">
        <v>8.8583822716759155E-5</v>
      </c>
      <c r="N10">
        <v>2.5663502920993499E-4</v>
      </c>
      <c r="O10">
        <v>6.4549936857058451E-5</v>
      </c>
      <c r="P10" t="s">
        <v>18</v>
      </c>
      <c r="Q10">
        <v>4</v>
      </c>
    </row>
    <row r="11" spans="1:17" x14ac:dyDescent="0.3">
      <c r="A11">
        <v>100</v>
      </c>
      <c r="B11">
        <v>100</v>
      </c>
      <c r="C11">
        <v>5</v>
      </c>
      <c r="D11">
        <v>100</v>
      </c>
      <c r="E11">
        <v>10</v>
      </c>
      <c r="F11">
        <v>1</v>
      </c>
      <c r="G11">
        <v>5.0000000000000001E-3</v>
      </c>
      <c r="H11">
        <v>12</v>
      </c>
      <c r="I11" t="b">
        <v>0</v>
      </c>
      <c r="J11" t="b">
        <v>1</v>
      </c>
      <c r="K11">
        <v>1.8677533680674691E-4</v>
      </c>
      <c r="L11">
        <v>5.102329716455318E-5</v>
      </c>
      <c r="M11">
        <v>2.0650065286791861E-4</v>
      </c>
      <c r="N11">
        <v>9.094408703759476E-4</v>
      </c>
      <c r="O11">
        <v>2.4440200064121252E-4</v>
      </c>
      <c r="P11" t="s">
        <v>18</v>
      </c>
      <c r="Q11">
        <v>5</v>
      </c>
    </row>
    <row r="12" spans="1:17" x14ac:dyDescent="0.3">
      <c r="A12">
        <v>100</v>
      </c>
      <c r="B12">
        <v>100</v>
      </c>
      <c r="C12">
        <v>7.5</v>
      </c>
      <c r="D12">
        <v>100</v>
      </c>
      <c r="E12">
        <v>10</v>
      </c>
      <c r="F12">
        <v>1</v>
      </c>
      <c r="G12">
        <v>5.0000000000000001E-3</v>
      </c>
      <c r="H12">
        <v>12</v>
      </c>
      <c r="I12" t="b">
        <v>0</v>
      </c>
      <c r="J12" t="b">
        <v>1</v>
      </c>
      <c r="K12">
        <v>4.0209788991276541E-4</v>
      </c>
      <c r="L12">
        <v>1.3591553541833189E-4</v>
      </c>
      <c r="M12">
        <v>8.4558870280410092E-4</v>
      </c>
      <c r="N12">
        <v>3.1679243588867848E-3</v>
      </c>
      <c r="O12">
        <v>2.607860957958509E-3</v>
      </c>
      <c r="P12" t="s">
        <v>18</v>
      </c>
      <c r="Q12">
        <v>7.5</v>
      </c>
    </row>
    <row r="13" spans="1:17" x14ac:dyDescent="0.3">
      <c r="A13">
        <v>100</v>
      </c>
      <c r="B13">
        <v>100</v>
      </c>
      <c r="C13">
        <v>10</v>
      </c>
      <c r="D13">
        <v>100</v>
      </c>
      <c r="E13">
        <v>10</v>
      </c>
      <c r="F13">
        <v>1</v>
      </c>
      <c r="G13">
        <v>5.0000000000000001E-3</v>
      </c>
      <c r="H13">
        <v>12</v>
      </c>
      <c r="I13" t="b">
        <v>0</v>
      </c>
      <c r="J13" t="b">
        <v>1</v>
      </c>
      <c r="K13">
        <v>3.3866121248436531E-4</v>
      </c>
      <c r="L13">
        <v>1.0669677630036351E-4</v>
      </c>
      <c r="M13">
        <v>1.6825045510760149E-3</v>
      </c>
      <c r="N13">
        <v>7.1441156593150404E-3</v>
      </c>
      <c r="O13">
        <v>1.1262623323780069E-3</v>
      </c>
      <c r="P13" t="s">
        <v>18</v>
      </c>
      <c r="Q13">
        <v>10</v>
      </c>
    </row>
    <row r="14" spans="1:17" x14ac:dyDescent="0.3">
      <c r="A14">
        <v>100</v>
      </c>
      <c r="B14">
        <v>100</v>
      </c>
      <c r="C14">
        <v>15</v>
      </c>
      <c r="D14">
        <v>100</v>
      </c>
      <c r="E14">
        <v>10</v>
      </c>
      <c r="F14">
        <v>1</v>
      </c>
      <c r="G14">
        <v>5.0000000000000001E-3</v>
      </c>
      <c r="H14">
        <v>12</v>
      </c>
      <c r="I14" t="b">
        <v>0</v>
      </c>
      <c r="J14" t="b">
        <v>1</v>
      </c>
      <c r="K14">
        <v>3.578935470417626E-3</v>
      </c>
      <c r="L14">
        <v>2.504945971354036E-4</v>
      </c>
      <c r="M14">
        <v>4.889314359604216E-2</v>
      </c>
      <c r="N14">
        <v>1.427069551204194</v>
      </c>
      <c r="O14">
        <v>5.6853879232346888E-2</v>
      </c>
      <c r="P14" t="s">
        <v>18</v>
      </c>
      <c r="Q14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1"/>
  <sheetViews>
    <sheetView workbookViewId="0">
      <selection activeCell="G22" sqref="G22"/>
    </sheetView>
  </sheetViews>
  <sheetFormatPr defaultRowHeight="14.4" x14ac:dyDescent="0.3"/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>
        <v>100</v>
      </c>
      <c r="B2">
        <v>100</v>
      </c>
      <c r="C2">
        <v>3</v>
      </c>
      <c r="D2">
        <v>15</v>
      </c>
      <c r="E2">
        <v>10</v>
      </c>
      <c r="F2">
        <v>1</v>
      </c>
      <c r="G2">
        <v>5.0000000000000001E-3</v>
      </c>
      <c r="H2">
        <v>12</v>
      </c>
      <c r="I2" t="b">
        <v>0</v>
      </c>
      <c r="J2" t="b">
        <v>1</v>
      </c>
      <c r="K2">
        <v>2.7268545212594361E-3</v>
      </c>
      <c r="L2">
        <v>3.2403189304955273E-4</v>
      </c>
      <c r="M2">
        <v>9.1031899913489409E-4</v>
      </c>
      <c r="N2">
        <v>6.0416006213196167E-3</v>
      </c>
      <c r="O2">
        <v>1.287033964474454E-3</v>
      </c>
      <c r="P2" t="s">
        <v>3</v>
      </c>
      <c r="Q2">
        <v>15</v>
      </c>
    </row>
    <row r="3" spans="1:17" x14ac:dyDescent="0.3">
      <c r="A3">
        <v>100</v>
      </c>
      <c r="B3">
        <v>100</v>
      </c>
      <c r="C3">
        <v>3</v>
      </c>
      <c r="D3">
        <v>25</v>
      </c>
      <c r="E3">
        <v>10</v>
      </c>
      <c r="F3">
        <v>1</v>
      </c>
      <c r="G3">
        <v>5.0000000000000001E-3</v>
      </c>
      <c r="H3">
        <v>12</v>
      </c>
      <c r="I3" t="b">
        <v>0</v>
      </c>
      <c r="J3" t="b">
        <v>1</v>
      </c>
      <c r="K3">
        <v>4.0614755381948853E-5</v>
      </c>
      <c r="L3">
        <v>6.7367462978997607E-6</v>
      </c>
      <c r="M3">
        <v>3.9765898872047951E-5</v>
      </c>
      <c r="N3">
        <v>8.7382746701423423E-4</v>
      </c>
      <c r="O3">
        <v>1.913438382225976E-4</v>
      </c>
      <c r="P3" t="s">
        <v>3</v>
      </c>
      <c r="Q3">
        <v>25</v>
      </c>
    </row>
    <row r="4" spans="1:17" x14ac:dyDescent="0.3">
      <c r="A4">
        <v>100</v>
      </c>
      <c r="B4">
        <v>100</v>
      </c>
      <c r="C4">
        <v>3</v>
      </c>
      <c r="D4">
        <v>40</v>
      </c>
      <c r="E4">
        <v>10</v>
      </c>
      <c r="F4">
        <v>1</v>
      </c>
      <c r="G4">
        <v>5.0000000000000001E-3</v>
      </c>
      <c r="H4">
        <v>12</v>
      </c>
      <c r="I4" t="b">
        <v>0</v>
      </c>
      <c r="J4" t="b">
        <v>1</v>
      </c>
      <c r="K4">
        <v>2.6411717732294302E-4</v>
      </c>
      <c r="L4">
        <v>1.0249667605120109E-4</v>
      </c>
      <c r="M4">
        <v>2.2768917335294571E-4</v>
      </c>
      <c r="N4">
        <v>2.408545613247136E-3</v>
      </c>
      <c r="O4">
        <v>7.6656378635040119E-4</v>
      </c>
      <c r="P4" t="s">
        <v>3</v>
      </c>
      <c r="Q4">
        <v>40</v>
      </c>
    </row>
    <row r="5" spans="1:17" x14ac:dyDescent="0.3">
      <c r="A5">
        <v>100</v>
      </c>
      <c r="B5">
        <v>100</v>
      </c>
      <c r="C5">
        <v>3</v>
      </c>
      <c r="D5">
        <v>50</v>
      </c>
      <c r="E5">
        <v>10</v>
      </c>
      <c r="F5">
        <v>1</v>
      </c>
      <c r="G5">
        <v>5.0000000000000001E-3</v>
      </c>
      <c r="H5">
        <v>12</v>
      </c>
      <c r="I5" t="b">
        <v>0</v>
      </c>
      <c r="J5" t="b">
        <v>1</v>
      </c>
      <c r="K5">
        <v>1.8479229424838141E-4</v>
      </c>
      <c r="L5">
        <v>5.9261438748242619E-5</v>
      </c>
      <c r="M5">
        <v>2.3369338097429349E-4</v>
      </c>
      <c r="N5">
        <v>2.5040658012752621E-3</v>
      </c>
      <c r="O5">
        <v>5.1918419799608449E-4</v>
      </c>
      <c r="P5" t="s">
        <v>3</v>
      </c>
      <c r="Q5">
        <v>50</v>
      </c>
    </row>
    <row r="6" spans="1:17" x14ac:dyDescent="0.3">
      <c r="A6">
        <v>100</v>
      </c>
      <c r="B6">
        <v>100</v>
      </c>
      <c r="C6">
        <v>3</v>
      </c>
      <c r="D6">
        <v>65</v>
      </c>
      <c r="E6">
        <v>10</v>
      </c>
      <c r="F6">
        <v>1</v>
      </c>
      <c r="G6">
        <v>5.0000000000000001E-3</v>
      </c>
      <c r="H6">
        <v>12</v>
      </c>
      <c r="I6" t="b">
        <v>0</v>
      </c>
      <c r="J6" t="b">
        <v>1</v>
      </c>
      <c r="K6">
        <v>8.3597044681826862E-5</v>
      </c>
      <c r="L6">
        <v>2.4127212695152321E-5</v>
      </c>
      <c r="M6">
        <v>6.569715114379368E-5</v>
      </c>
      <c r="N6">
        <v>4.4836339639221139E-4</v>
      </c>
      <c r="O6">
        <v>2.3892145803636189E-4</v>
      </c>
      <c r="P6" t="s">
        <v>3</v>
      </c>
      <c r="Q6">
        <v>65</v>
      </c>
    </row>
    <row r="7" spans="1:17" x14ac:dyDescent="0.3">
      <c r="A7">
        <v>100</v>
      </c>
      <c r="B7">
        <v>100</v>
      </c>
      <c r="C7">
        <v>3</v>
      </c>
      <c r="D7">
        <v>75</v>
      </c>
      <c r="E7">
        <v>10</v>
      </c>
      <c r="F7">
        <v>1</v>
      </c>
      <c r="G7">
        <v>5.0000000000000001E-3</v>
      </c>
      <c r="H7">
        <v>12</v>
      </c>
      <c r="I7" t="b">
        <v>0</v>
      </c>
      <c r="J7" t="b">
        <v>1</v>
      </c>
      <c r="K7">
        <v>2.3331678866918071E-5</v>
      </c>
      <c r="L7">
        <v>1.4092598668045161E-5</v>
      </c>
      <c r="M7">
        <v>2.7778480140462E-5</v>
      </c>
      <c r="N7">
        <v>6.9378623863308058E-4</v>
      </c>
      <c r="O7">
        <v>3.4239313817864602E-4</v>
      </c>
      <c r="P7" t="s">
        <v>3</v>
      </c>
      <c r="Q7">
        <v>75</v>
      </c>
    </row>
    <row r="8" spans="1:17" x14ac:dyDescent="0.3">
      <c r="A8">
        <v>100</v>
      </c>
      <c r="B8">
        <v>100</v>
      </c>
      <c r="C8">
        <v>3</v>
      </c>
      <c r="D8">
        <v>85</v>
      </c>
      <c r="E8">
        <v>10</v>
      </c>
      <c r="F8">
        <v>1</v>
      </c>
      <c r="G8">
        <v>5.0000000000000001E-3</v>
      </c>
      <c r="H8">
        <v>12</v>
      </c>
      <c r="I8" t="b">
        <v>0</v>
      </c>
      <c r="J8" t="b">
        <v>1</v>
      </c>
      <c r="K8">
        <v>1.3131544332349091E-4</v>
      </c>
      <c r="L8">
        <v>3.870551326993025E-5</v>
      </c>
      <c r="M8">
        <v>1.1011669401699641E-4</v>
      </c>
      <c r="N8">
        <v>8.2879189856309508E-4</v>
      </c>
      <c r="O8">
        <v>4.410083291350326E-4</v>
      </c>
      <c r="P8" t="s">
        <v>3</v>
      </c>
      <c r="Q8">
        <v>85</v>
      </c>
    </row>
    <row r="9" spans="1:17" x14ac:dyDescent="0.3">
      <c r="A9">
        <v>100</v>
      </c>
      <c r="B9">
        <v>100</v>
      </c>
      <c r="C9">
        <v>3</v>
      </c>
      <c r="D9">
        <v>100</v>
      </c>
      <c r="E9">
        <v>10</v>
      </c>
      <c r="F9">
        <v>1</v>
      </c>
      <c r="G9">
        <v>5.0000000000000001E-3</v>
      </c>
      <c r="H9">
        <v>12</v>
      </c>
      <c r="I9" t="b">
        <v>0</v>
      </c>
      <c r="J9" t="b">
        <v>1</v>
      </c>
      <c r="K9">
        <v>1.2862637268180681E-4</v>
      </c>
      <c r="L9">
        <v>4.8921425893749773E-5</v>
      </c>
      <c r="M9">
        <v>1.558903359243233E-4</v>
      </c>
      <c r="N9">
        <v>1.420446950893599E-3</v>
      </c>
      <c r="O9">
        <v>6.2221070627574426E-4</v>
      </c>
      <c r="P9" t="s">
        <v>3</v>
      </c>
      <c r="Q9">
        <v>100</v>
      </c>
    </row>
    <row r="10" spans="1:17" x14ac:dyDescent="0.3">
      <c r="A10">
        <v>100</v>
      </c>
      <c r="B10">
        <v>100</v>
      </c>
      <c r="C10">
        <v>3</v>
      </c>
      <c r="D10">
        <v>115</v>
      </c>
      <c r="E10">
        <v>10</v>
      </c>
      <c r="F10">
        <v>1</v>
      </c>
      <c r="G10">
        <v>5.0000000000000001E-3</v>
      </c>
      <c r="H10">
        <v>12</v>
      </c>
      <c r="I10" t="b">
        <v>0</v>
      </c>
      <c r="J10" t="b">
        <v>1</v>
      </c>
      <c r="K10">
        <v>1.5413454082614751E-4</v>
      </c>
      <c r="L10">
        <v>5.7460949659597761E-5</v>
      </c>
      <c r="M10">
        <v>1.3677558074668461E-4</v>
      </c>
      <c r="N10">
        <v>1.119632475481417E-3</v>
      </c>
      <c r="O10">
        <v>7.5776238994098265E-4</v>
      </c>
      <c r="P10" t="s">
        <v>3</v>
      </c>
      <c r="Q10">
        <v>115</v>
      </c>
    </row>
    <row r="11" spans="1:17" x14ac:dyDescent="0.3">
      <c r="A11">
        <v>100</v>
      </c>
      <c r="B11">
        <v>100</v>
      </c>
      <c r="C11">
        <v>3</v>
      </c>
      <c r="D11">
        <v>130</v>
      </c>
      <c r="E11">
        <v>10</v>
      </c>
      <c r="F11">
        <v>1</v>
      </c>
      <c r="G11">
        <v>5.0000000000000001E-3</v>
      </c>
      <c r="H11">
        <v>12</v>
      </c>
      <c r="I11" t="b">
        <v>0</v>
      </c>
      <c r="J11" t="b">
        <v>1</v>
      </c>
      <c r="K11">
        <v>4.453841203159999E-4</v>
      </c>
      <c r="L11">
        <v>1.557038811816547E-4</v>
      </c>
      <c r="M11">
        <v>2.985322094188564E-4</v>
      </c>
      <c r="N11">
        <v>1.1797534918317669E-3</v>
      </c>
      <c r="O11">
        <v>8.8598070215064023E-4</v>
      </c>
      <c r="P11" t="s">
        <v>3</v>
      </c>
      <c r="Q11">
        <v>130</v>
      </c>
    </row>
    <row r="12" spans="1:17" x14ac:dyDescent="0.3">
      <c r="A12">
        <v>100</v>
      </c>
      <c r="B12">
        <v>100</v>
      </c>
      <c r="C12">
        <v>3</v>
      </c>
      <c r="D12">
        <v>150</v>
      </c>
      <c r="E12">
        <v>10</v>
      </c>
      <c r="F12">
        <v>1</v>
      </c>
      <c r="G12">
        <v>5.0000000000000001E-3</v>
      </c>
      <c r="H12">
        <v>12</v>
      </c>
      <c r="I12" t="b">
        <v>0</v>
      </c>
      <c r="J12" t="b">
        <v>1</v>
      </c>
      <c r="K12">
        <v>1.8314595130837529E-3</v>
      </c>
      <c r="L12">
        <v>7.2331127720405509E-4</v>
      </c>
      <c r="M12">
        <v>1.2614298337915999E-3</v>
      </c>
      <c r="N12">
        <v>1.6999973136660751E-3</v>
      </c>
      <c r="O12">
        <v>9.617089426057849E-4</v>
      </c>
      <c r="P12" t="s">
        <v>3</v>
      </c>
      <c r="Q12">
        <v>150</v>
      </c>
    </row>
    <row r="13" spans="1:17" x14ac:dyDescent="0.3">
      <c r="A13">
        <v>100</v>
      </c>
      <c r="B13">
        <v>100</v>
      </c>
      <c r="C13">
        <v>3</v>
      </c>
      <c r="D13">
        <v>200</v>
      </c>
      <c r="E13">
        <v>10</v>
      </c>
      <c r="F13">
        <v>1</v>
      </c>
      <c r="G13">
        <v>5.0000000000000001E-3</v>
      </c>
      <c r="H13">
        <v>12</v>
      </c>
      <c r="I13" t="b">
        <v>0</v>
      </c>
      <c r="J13" t="b">
        <v>1</v>
      </c>
      <c r="K13">
        <v>5.0069766651657032E-5</v>
      </c>
      <c r="L13">
        <v>1.314862346204705E-5</v>
      </c>
      <c r="M13">
        <v>1.8378755316712071E-5</v>
      </c>
      <c r="N13">
        <v>4.5992901057289231E-4</v>
      </c>
      <c r="O13">
        <v>1.16862669711763E-4</v>
      </c>
      <c r="P13" t="s">
        <v>3</v>
      </c>
      <c r="Q13">
        <v>200</v>
      </c>
    </row>
    <row r="18" spans="6:7" x14ac:dyDescent="0.3">
      <c r="F18">
        <f>100*100</f>
        <v>10000</v>
      </c>
    </row>
    <row r="19" spans="6:7" x14ac:dyDescent="0.3">
      <c r="F19">
        <f>200/F18</f>
        <v>0.02</v>
      </c>
      <c r="G19">
        <f>F19*100</f>
        <v>2</v>
      </c>
    </row>
    <row r="20" spans="6:7" x14ac:dyDescent="0.3">
      <c r="F20">
        <f>347/F18</f>
        <v>3.4700000000000002E-2</v>
      </c>
      <c r="G20">
        <f>F20*100</f>
        <v>3.47</v>
      </c>
    </row>
    <row r="21" spans="6:7" x14ac:dyDescent="0.3">
      <c r="G21">
        <f>SUM(G19:G20)</f>
        <v>5.4700000000000006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"/>
  <sheetViews>
    <sheetView tabSelected="1" workbookViewId="0">
      <selection activeCell="G19" sqref="G19"/>
    </sheetView>
  </sheetViews>
  <sheetFormatPr defaultRowHeight="14.4" x14ac:dyDescent="0.3"/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>
        <v>100</v>
      </c>
      <c r="B2">
        <v>100</v>
      </c>
      <c r="C2">
        <v>3</v>
      </c>
      <c r="D2">
        <v>100</v>
      </c>
      <c r="E2">
        <v>5</v>
      </c>
      <c r="F2">
        <v>1</v>
      </c>
      <c r="G2">
        <v>5.0000000000000001E-3</v>
      </c>
      <c r="H2">
        <v>12</v>
      </c>
      <c r="I2" t="b">
        <v>0</v>
      </c>
      <c r="J2" t="b">
        <v>1</v>
      </c>
      <c r="K2">
        <v>6.4591156432035815E-5</v>
      </c>
      <c r="L2">
        <v>2.771917256624795E-5</v>
      </c>
      <c r="M2">
        <v>6.7331499223458562E-5</v>
      </c>
      <c r="N2">
        <v>8.5833044042464806E-4</v>
      </c>
      <c r="O2">
        <v>5.5108415688114737E-4</v>
      </c>
      <c r="P2" t="s">
        <v>4</v>
      </c>
      <c r="Q2">
        <v>5</v>
      </c>
    </row>
    <row r="3" spans="1:17" x14ac:dyDescent="0.3">
      <c r="A3">
        <v>100</v>
      </c>
      <c r="B3">
        <v>100</v>
      </c>
      <c r="C3">
        <v>3</v>
      </c>
      <c r="D3">
        <v>100</v>
      </c>
      <c r="E3">
        <v>6</v>
      </c>
      <c r="F3">
        <v>1</v>
      </c>
      <c r="G3">
        <v>5.0000000000000001E-3</v>
      </c>
      <c r="H3">
        <v>12</v>
      </c>
      <c r="I3" t="b">
        <v>0</v>
      </c>
      <c r="J3" t="b">
        <v>1</v>
      </c>
      <c r="K3">
        <v>4.7515331943152889E-4</v>
      </c>
      <c r="L3">
        <v>1.2486037630777999E-4</v>
      </c>
      <c r="M3">
        <v>2.6930672090008401E-4</v>
      </c>
      <c r="N3">
        <v>8.4621055609685836E-4</v>
      </c>
      <c r="O3">
        <v>5.8093248966361287E-4</v>
      </c>
      <c r="P3" t="s">
        <v>4</v>
      </c>
      <c r="Q3">
        <v>6</v>
      </c>
    </row>
    <row r="4" spans="1:17" x14ac:dyDescent="0.3">
      <c r="A4">
        <v>100</v>
      </c>
      <c r="B4">
        <v>100</v>
      </c>
      <c r="C4">
        <v>3</v>
      </c>
      <c r="D4">
        <v>100</v>
      </c>
      <c r="E4">
        <v>7</v>
      </c>
      <c r="F4">
        <v>1</v>
      </c>
      <c r="G4">
        <v>5.0000000000000001E-3</v>
      </c>
      <c r="H4">
        <v>12</v>
      </c>
      <c r="I4" t="b">
        <v>0</v>
      </c>
      <c r="J4" t="b">
        <v>1</v>
      </c>
      <c r="K4">
        <v>9.9823069501759509E-2</v>
      </c>
      <c r="L4">
        <v>2.4472569183089911E-2</v>
      </c>
      <c r="M4">
        <v>6.5154217828106209E-2</v>
      </c>
      <c r="N4">
        <v>1.4099681320864791E-3</v>
      </c>
      <c r="O4">
        <v>5.7168300280358313E-4</v>
      </c>
      <c r="P4" t="s">
        <v>4</v>
      </c>
      <c r="Q4">
        <v>7</v>
      </c>
    </row>
    <row r="5" spans="1:17" x14ac:dyDescent="0.3">
      <c r="A5">
        <v>100</v>
      </c>
      <c r="B5">
        <v>100</v>
      </c>
      <c r="C5">
        <v>3</v>
      </c>
      <c r="D5">
        <v>100</v>
      </c>
      <c r="E5">
        <v>8</v>
      </c>
      <c r="F5">
        <v>1</v>
      </c>
      <c r="G5">
        <v>5.0000000000000001E-3</v>
      </c>
      <c r="H5">
        <v>12</v>
      </c>
      <c r="I5" t="b">
        <v>0</v>
      </c>
      <c r="J5" t="b">
        <v>1</v>
      </c>
      <c r="K5">
        <v>4.3270335762528582E-4</v>
      </c>
      <c r="L5">
        <v>1.5393627273622301E-4</v>
      </c>
      <c r="M5">
        <v>5.1681624780683258E-4</v>
      </c>
      <c r="N5">
        <v>9.0285330603607648E-4</v>
      </c>
      <c r="O5">
        <v>5.6554488172943064E-4</v>
      </c>
      <c r="P5" t="s">
        <v>4</v>
      </c>
      <c r="Q5">
        <v>8</v>
      </c>
    </row>
    <row r="6" spans="1:17" x14ac:dyDescent="0.3">
      <c r="A6">
        <v>100</v>
      </c>
      <c r="B6">
        <v>100</v>
      </c>
      <c r="C6">
        <v>3</v>
      </c>
      <c r="D6">
        <v>100</v>
      </c>
      <c r="E6">
        <v>9</v>
      </c>
      <c r="F6">
        <v>1</v>
      </c>
      <c r="G6">
        <v>5.0000000000000001E-3</v>
      </c>
      <c r="H6">
        <v>12</v>
      </c>
      <c r="I6" t="b">
        <v>0</v>
      </c>
      <c r="J6" t="b">
        <v>1</v>
      </c>
      <c r="K6">
        <v>5.5118717095076154E-4</v>
      </c>
      <c r="L6">
        <v>1.9369898147120979E-4</v>
      </c>
      <c r="M6">
        <v>6.4200784860113087E-4</v>
      </c>
      <c r="N6">
        <v>1.430327686607128E-3</v>
      </c>
      <c r="O6">
        <v>6.2147801359881398E-4</v>
      </c>
      <c r="P6" t="s">
        <v>4</v>
      </c>
      <c r="Q6">
        <v>9</v>
      </c>
    </row>
    <row r="7" spans="1:17" x14ac:dyDescent="0.3">
      <c r="A7">
        <v>100</v>
      </c>
      <c r="B7">
        <v>100</v>
      </c>
      <c r="C7">
        <v>3</v>
      </c>
      <c r="D7">
        <v>100</v>
      </c>
      <c r="E7">
        <v>10</v>
      </c>
      <c r="F7">
        <v>1</v>
      </c>
      <c r="G7">
        <v>5.0000000000000001E-3</v>
      </c>
      <c r="H7">
        <v>12</v>
      </c>
      <c r="I7" t="b">
        <v>0</v>
      </c>
      <c r="J7" t="b">
        <v>1</v>
      </c>
      <c r="K7">
        <v>1.2862637268180681E-4</v>
      </c>
      <c r="L7">
        <v>4.8921425893749773E-5</v>
      </c>
      <c r="M7">
        <v>1.558903359243233E-4</v>
      </c>
      <c r="N7">
        <v>1.420446950893599E-3</v>
      </c>
      <c r="O7">
        <v>6.2221070627574426E-4</v>
      </c>
      <c r="P7" t="s">
        <v>4</v>
      </c>
      <c r="Q7">
        <v>10</v>
      </c>
    </row>
    <row r="8" spans="1:17" x14ac:dyDescent="0.3">
      <c r="A8">
        <v>100</v>
      </c>
      <c r="B8">
        <v>100</v>
      </c>
      <c r="C8">
        <v>3</v>
      </c>
      <c r="D8">
        <v>100</v>
      </c>
      <c r="E8">
        <v>11</v>
      </c>
      <c r="F8">
        <v>1</v>
      </c>
      <c r="G8">
        <v>5.0000000000000001E-3</v>
      </c>
      <c r="H8">
        <v>12</v>
      </c>
      <c r="I8" t="b">
        <v>0</v>
      </c>
      <c r="J8" t="b">
        <v>1</v>
      </c>
      <c r="K8">
        <v>4.5062958080113009E-4</v>
      </c>
      <c r="L8">
        <v>1.4103595214103569E-4</v>
      </c>
      <c r="M8">
        <v>4.4719660976154168E-4</v>
      </c>
      <c r="N8">
        <v>1.4146140562451329E-3</v>
      </c>
      <c r="O8">
        <v>6.2198537519328023E-4</v>
      </c>
      <c r="P8" t="s">
        <v>4</v>
      </c>
      <c r="Q8">
        <v>11</v>
      </c>
    </row>
    <row r="9" spans="1:17" x14ac:dyDescent="0.3">
      <c r="A9">
        <v>100</v>
      </c>
      <c r="B9">
        <v>100</v>
      </c>
      <c r="C9">
        <v>3</v>
      </c>
      <c r="D9">
        <v>100</v>
      </c>
      <c r="E9">
        <v>12</v>
      </c>
      <c r="F9">
        <v>1</v>
      </c>
      <c r="G9">
        <v>5.0000000000000001E-3</v>
      </c>
      <c r="H9">
        <v>12</v>
      </c>
      <c r="I9" t="b">
        <v>0</v>
      </c>
      <c r="J9" t="b">
        <v>1</v>
      </c>
      <c r="K9">
        <v>5.4075213179830613E-5</v>
      </c>
      <c r="L9">
        <v>2.5390947115120508E-5</v>
      </c>
      <c r="M9">
        <v>5.8207855961458763E-5</v>
      </c>
      <c r="N9">
        <v>1.4108877476445259E-3</v>
      </c>
      <c r="O9">
        <v>6.1582671279697074E-4</v>
      </c>
      <c r="P9" t="s">
        <v>4</v>
      </c>
      <c r="Q9">
        <v>12</v>
      </c>
    </row>
    <row r="15" spans="1:17" x14ac:dyDescent="0.3">
      <c r="F15">
        <f>100*100</f>
        <v>10000</v>
      </c>
    </row>
    <row r="16" spans="1:17" x14ac:dyDescent="0.3">
      <c r="F16">
        <f>491/F15</f>
        <v>4.9099999999999998E-2</v>
      </c>
      <c r="G16">
        <f>F16*100</f>
        <v>4.91</v>
      </c>
    </row>
    <row r="17" spans="6:7" x14ac:dyDescent="0.3">
      <c r="F17">
        <f>100/F15</f>
        <v>0.01</v>
      </c>
      <c r="G17">
        <f>F17*100</f>
        <v>1</v>
      </c>
    </row>
    <row r="18" spans="6:7" x14ac:dyDescent="0.3">
      <c r="G18">
        <f>SUM(G16:G17)</f>
        <v>5.91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4"/>
  <sheetViews>
    <sheetView workbookViewId="0"/>
  </sheetViews>
  <sheetFormatPr defaultRowHeight="14.4" x14ac:dyDescent="0.3"/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>
        <v>100</v>
      </c>
      <c r="B2">
        <v>100</v>
      </c>
      <c r="C2">
        <v>3</v>
      </c>
      <c r="D2">
        <v>100</v>
      </c>
      <c r="E2">
        <v>10</v>
      </c>
      <c r="F2">
        <v>1</v>
      </c>
      <c r="G2">
        <v>10</v>
      </c>
      <c r="H2">
        <v>12</v>
      </c>
      <c r="I2" t="b">
        <v>0</v>
      </c>
      <c r="J2" t="b">
        <v>1</v>
      </c>
      <c r="K2">
        <v>5.1856889500762223E-4</v>
      </c>
      <c r="L2">
        <v>5.2846728552232792E-4</v>
      </c>
      <c r="M2">
        <v>6.2382274496800016E-4</v>
      </c>
      <c r="N2">
        <v>1.2829162815933029E-2</v>
      </c>
      <c r="O2">
        <v>7.883195500917475E-3</v>
      </c>
      <c r="P2" t="s">
        <v>19</v>
      </c>
      <c r="Q2">
        <v>10</v>
      </c>
    </row>
    <row r="3" spans="1:17" x14ac:dyDescent="0.3">
      <c r="A3">
        <v>100</v>
      </c>
      <c r="B3">
        <v>100</v>
      </c>
      <c r="C3">
        <v>3</v>
      </c>
      <c r="D3">
        <v>100</v>
      </c>
      <c r="E3">
        <v>10</v>
      </c>
      <c r="F3">
        <v>1</v>
      </c>
      <c r="G3">
        <v>5</v>
      </c>
      <c r="H3">
        <v>12</v>
      </c>
      <c r="I3" t="b">
        <v>0</v>
      </c>
      <c r="J3" t="b">
        <v>1</v>
      </c>
      <c r="K3">
        <v>4.7587546538497248E-4</v>
      </c>
      <c r="L3">
        <v>2.0653331304824299E-4</v>
      </c>
      <c r="M3">
        <v>4.5952970069202699E-4</v>
      </c>
      <c r="N3">
        <v>6.6307144580627468E-3</v>
      </c>
      <c r="O3">
        <v>4.2029478558646407E-3</v>
      </c>
      <c r="P3" t="s">
        <v>19</v>
      </c>
      <c r="Q3">
        <v>5</v>
      </c>
    </row>
    <row r="4" spans="1:17" x14ac:dyDescent="0.3">
      <c r="A4">
        <v>100</v>
      </c>
      <c r="B4">
        <v>100</v>
      </c>
      <c r="C4">
        <v>3</v>
      </c>
      <c r="D4">
        <v>100</v>
      </c>
      <c r="E4">
        <v>10</v>
      </c>
      <c r="F4">
        <v>1</v>
      </c>
      <c r="G4">
        <v>1</v>
      </c>
      <c r="H4">
        <v>12</v>
      </c>
      <c r="I4" t="b">
        <v>0</v>
      </c>
      <c r="J4" t="b">
        <v>1</v>
      </c>
      <c r="K4">
        <v>2.3465240523575201E-4</v>
      </c>
      <c r="L4">
        <v>1.1838157294838491E-4</v>
      </c>
      <c r="M4">
        <v>1.989547728696887E-4</v>
      </c>
      <c r="N4">
        <v>1.686461322120933E-3</v>
      </c>
      <c r="O4">
        <v>1.289891384136624E-3</v>
      </c>
      <c r="P4" t="s">
        <v>19</v>
      </c>
      <c r="Q4">
        <v>1</v>
      </c>
    </row>
    <row r="5" spans="1:17" x14ac:dyDescent="0.3">
      <c r="A5">
        <v>100</v>
      </c>
      <c r="B5">
        <v>100</v>
      </c>
      <c r="C5">
        <v>3</v>
      </c>
      <c r="D5">
        <v>100</v>
      </c>
      <c r="E5">
        <v>10</v>
      </c>
      <c r="F5">
        <v>1</v>
      </c>
      <c r="G5">
        <v>0.5</v>
      </c>
      <c r="H5">
        <v>12</v>
      </c>
      <c r="I5" t="b">
        <v>0</v>
      </c>
      <c r="J5" t="b">
        <v>1</v>
      </c>
      <c r="K5">
        <v>6.4218676762508491E-4</v>
      </c>
      <c r="L5">
        <v>2.048040026941632E-4</v>
      </c>
      <c r="M5">
        <v>4.8878606322427852E-4</v>
      </c>
      <c r="N5">
        <v>1.288138857876465E-3</v>
      </c>
      <c r="O5">
        <v>9.4214739836112854E-4</v>
      </c>
      <c r="P5" t="s">
        <v>19</v>
      </c>
      <c r="Q5">
        <v>0.5</v>
      </c>
    </row>
    <row r="6" spans="1:17" x14ac:dyDescent="0.3">
      <c r="A6">
        <v>100</v>
      </c>
      <c r="B6">
        <v>100</v>
      </c>
      <c r="C6">
        <v>3</v>
      </c>
      <c r="D6">
        <v>100</v>
      </c>
      <c r="E6">
        <v>10</v>
      </c>
      <c r="F6">
        <v>1</v>
      </c>
      <c r="G6">
        <v>0.1</v>
      </c>
      <c r="H6">
        <v>12</v>
      </c>
      <c r="I6" t="b">
        <v>0</v>
      </c>
      <c r="J6" t="b">
        <v>1</v>
      </c>
      <c r="K6">
        <v>6.2782830831522893E-5</v>
      </c>
      <c r="L6">
        <v>3.0971742223458149E-5</v>
      </c>
      <c r="M6">
        <v>9.0689758930699737E-5</v>
      </c>
      <c r="N6">
        <v>1.3950603029924109E-3</v>
      </c>
      <c r="O6">
        <v>6.8009539742255865E-4</v>
      </c>
      <c r="P6" t="s">
        <v>19</v>
      </c>
      <c r="Q6">
        <v>0.1</v>
      </c>
    </row>
    <row r="7" spans="1:17" x14ac:dyDescent="0.3">
      <c r="A7">
        <v>100</v>
      </c>
      <c r="B7">
        <v>100</v>
      </c>
      <c r="C7">
        <v>3</v>
      </c>
      <c r="D7">
        <v>100</v>
      </c>
      <c r="E7">
        <v>10</v>
      </c>
      <c r="F7">
        <v>1</v>
      </c>
      <c r="G7">
        <v>0.05</v>
      </c>
      <c r="H7">
        <v>12</v>
      </c>
      <c r="I7" t="b">
        <v>0</v>
      </c>
      <c r="J7" t="b">
        <v>1</v>
      </c>
      <c r="K7">
        <v>1.115256848218405E-4</v>
      </c>
      <c r="L7">
        <v>4.7810384705261853E-5</v>
      </c>
      <c r="M7">
        <v>1.610304170001998E-4</v>
      </c>
      <c r="N7">
        <v>1.4084196886930539E-3</v>
      </c>
      <c r="O7">
        <v>6.493306179016638E-4</v>
      </c>
      <c r="P7" t="s">
        <v>19</v>
      </c>
      <c r="Q7">
        <v>0.05</v>
      </c>
    </row>
    <row r="8" spans="1:17" x14ac:dyDescent="0.3">
      <c r="A8">
        <v>100</v>
      </c>
      <c r="B8">
        <v>100</v>
      </c>
      <c r="C8">
        <v>3</v>
      </c>
      <c r="D8">
        <v>100</v>
      </c>
      <c r="E8">
        <v>10</v>
      </c>
      <c r="F8">
        <v>1</v>
      </c>
      <c r="G8">
        <v>0.01</v>
      </c>
      <c r="H8">
        <v>12</v>
      </c>
      <c r="I8" t="b">
        <v>0</v>
      </c>
      <c r="J8" t="b">
        <v>1</v>
      </c>
      <c r="K8">
        <v>7.9275581654233691E-5</v>
      </c>
      <c r="L8">
        <v>3.0529580153236993E-5</v>
      </c>
      <c r="M8">
        <v>8.9214984336308741E-5</v>
      </c>
      <c r="N8">
        <v>1.41911676602667E-3</v>
      </c>
      <c r="O8">
        <v>6.2519508695417893E-4</v>
      </c>
      <c r="P8" t="s">
        <v>19</v>
      </c>
      <c r="Q8">
        <v>0.01</v>
      </c>
    </row>
    <row r="9" spans="1:17" x14ac:dyDescent="0.3">
      <c r="A9">
        <v>100</v>
      </c>
      <c r="B9">
        <v>100</v>
      </c>
      <c r="C9">
        <v>3</v>
      </c>
      <c r="D9">
        <v>100</v>
      </c>
      <c r="E9">
        <v>10</v>
      </c>
      <c r="F9">
        <v>1</v>
      </c>
      <c r="G9">
        <v>5.0000000000000001E-3</v>
      </c>
      <c r="H9">
        <v>12</v>
      </c>
      <c r="I9" t="b">
        <v>0</v>
      </c>
      <c r="J9" t="b">
        <v>1</v>
      </c>
      <c r="K9">
        <v>1.2862637268180681E-4</v>
      </c>
      <c r="L9">
        <v>4.8921425893749773E-5</v>
      </c>
      <c r="M9">
        <v>1.558903359243233E-4</v>
      </c>
      <c r="N9">
        <v>1.420446950893599E-3</v>
      </c>
      <c r="O9">
        <v>6.2221070627574426E-4</v>
      </c>
      <c r="P9" t="s">
        <v>19</v>
      </c>
      <c r="Q9">
        <v>5.0000000000000001E-3</v>
      </c>
    </row>
    <row r="10" spans="1:17" x14ac:dyDescent="0.3">
      <c r="A10">
        <v>100</v>
      </c>
      <c r="B10">
        <v>100</v>
      </c>
      <c r="C10">
        <v>3</v>
      </c>
      <c r="D10">
        <v>100</v>
      </c>
      <c r="E10">
        <v>10</v>
      </c>
      <c r="F10">
        <v>1</v>
      </c>
      <c r="G10">
        <v>1E-3</v>
      </c>
      <c r="H10">
        <v>12</v>
      </c>
      <c r="I10" t="b">
        <v>0</v>
      </c>
      <c r="J10" t="b">
        <v>1</v>
      </c>
      <c r="K10">
        <v>1.3487536197933191E-4</v>
      </c>
      <c r="L10">
        <v>5.0588279911559091E-5</v>
      </c>
      <c r="M10">
        <v>1.695140121432599E-4</v>
      </c>
      <c r="N10">
        <v>1.4215165750710991E-3</v>
      </c>
      <c r="O10">
        <v>6.1982859415027933E-4</v>
      </c>
      <c r="P10" t="s">
        <v>19</v>
      </c>
      <c r="Q10">
        <v>1E-3</v>
      </c>
    </row>
    <row r="11" spans="1:17" x14ac:dyDescent="0.3">
      <c r="A11">
        <v>100</v>
      </c>
      <c r="B11">
        <v>100</v>
      </c>
      <c r="C11">
        <v>3</v>
      </c>
      <c r="D11">
        <v>100</v>
      </c>
      <c r="E11">
        <v>10</v>
      </c>
      <c r="F11">
        <v>1</v>
      </c>
      <c r="G11">
        <v>5.0000000000000001E-4</v>
      </c>
      <c r="H11">
        <v>12</v>
      </c>
      <c r="I11" t="b">
        <v>0</v>
      </c>
      <c r="J11" t="b">
        <v>1</v>
      </c>
      <c r="K11">
        <v>1.4400757046760949E-4</v>
      </c>
      <c r="L11">
        <v>5.4369998793546128E-5</v>
      </c>
      <c r="M11">
        <v>1.7841099035916519E-4</v>
      </c>
      <c r="N11">
        <v>1.4216493162608019E-3</v>
      </c>
      <c r="O11">
        <v>6.1953117183302794E-4</v>
      </c>
      <c r="P11" t="s">
        <v>19</v>
      </c>
      <c r="Q11">
        <v>5.0000000000000001E-4</v>
      </c>
    </row>
    <row r="12" spans="1:17" x14ac:dyDescent="0.3">
      <c r="A12">
        <v>100</v>
      </c>
      <c r="B12">
        <v>100</v>
      </c>
      <c r="C12">
        <v>3</v>
      </c>
      <c r="D12">
        <v>100</v>
      </c>
      <c r="E12">
        <v>10</v>
      </c>
      <c r="F12">
        <v>1</v>
      </c>
      <c r="G12">
        <v>1E-4</v>
      </c>
      <c r="H12">
        <v>12</v>
      </c>
      <c r="I12" t="b">
        <v>0</v>
      </c>
      <c r="J12" t="b">
        <v>1</v>
      </c>
      <c r="K12">
        <v>1.581026038840504E-4</v>
      </c>
      <c r="L12">
        <v>5.9766610616855991E-5</v>
      </c>
      <c r="M12">
        <v>1.9145322737494969E-4</v>
      </c>
      <c r="N12">
        <v>1.421756776131256E-3</v>
      </c>
      <c r="O12">
        <v>6.1929329179589889E-4</v>
      </c>
      <c r="P12" t="s">
        <v>19</v>
      </c>
      <c r="Q12">
        <v>1E-4</v>
      </c>
    </row>
    <row r="13" spans="1:17" x14ac:dyDescent="0.3">
      <c r="A13">
        <v>100</v>
      </c>
      <c r="B13">
        <v>100</v>
      </c>
      <c r="C13">
        <v>3</v>
      </c>
      <c r="D13">
        <v>100</v>
      </c>
      <c r="E13">
        <v>10</v>
      </c>
      <c r="F13">
        <v>1</v>
      </c>
      <c r="G13">
        <v>5.0000000000000002E-5</v>
      </c>
      <c r="H13">
        <v>12</v>
      </c>
      <c r="I13" t="b">
        <v>0</v>
      </c>
      <c r="J13" t="b">
        <v>1</v>
      </c>
      <c r="K13">
        <v>1.6176416901814139E-4</v>
      </c>
      <c r="L13">
        <v>6.0693759490621689E-5</v>
      </c>
      <c r="M13">
        <v>1.937059090718161E-4</v>
      </c>
      <c r="N13">
        <v>1.421766586736863E-3</v>
      </c>
      <c r="O13">
        <v>6.1926350745679295E-4</v>
      </c>
      <c r="P13" t="s">
        <v>19</v>
      </c>
      <c r="Q13">
        <v>5.0000000000000002E-5</v>
      </c>
    </row>
    <row r="14" spans="1:17" x14ac:dyDescent="0.3">
      <c r="A14">
        <v>100</v>
      </c>
      <c r="B14">
        <v>100</v>
      </c>
      <c r="C14">
        <v>3</v>
      </c>
      <c r="D14">
        <v>100</v>
      </c>
      <c r="E14">
        <v>10</v>
      </c>
      <c r="F14">
        <v>1</v>
      </c>
      <c r="G14">
        <v>1.0000000000000001E-5</v>
      </c>
      <c r="H14">
        <v>12</v>
      </c>
      <c r="I14" t="b">
        <v>0</v>
      </c>
      <c r="J14" t="b">
        <v>1</v>
      </c>
      <c r="K14">
        <v>1.647605265649925E-4</v>
      </c>
      <c r="L14">
        <v>6.1486182993658665E-5</v>
      </c>
      <c r="M14">
        <v>1.9563646070396351E-4</v>
      </c>
      <c r="N14">
        <v>1.4217831929840719E-3</v>
      </c>
      <c r="O14">
        <v>6.1923979207939767E-4</v>
      </c>
      <c r="P14" t="s">
        <v>19</v>
      </c>
      <c r="Q14">
        <v>1.0000000000000001E-5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0"/>
  <sheetViews>
    <sheetView workbookViewId="0"/>
  </sheetViews>
  <sheetFormatPr defaultRowHeight="14.4" x14ac:dyDescent="0.3"/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>
        <v>100</v>
      </c>
      <c r="B2">
        <v>100</v>
      </c>
      <c r="C2">
        <v>3</v>
      </c>
      <c r="D2">
        <v>100</v>
      </c>
      <c r="E2">
        <v>10</v>
      </c>
      <c r="F2">
        <v>1</v>
      </c>
      <c r="G2">
        <v>5.0000000000000001E-3</v>
      </c>
      <c r="H2">
        <v>0</v>
      </c>
      <c r="I2" t="b">
        <v>0</v>
      </c>
      <c r="J2" t="b">
        <v>1</v>
      </c>
      <c r="K2">
        <v>1.3995152576599601</v>
      </c>
      <c r="L2">
        <v>0.9686907334880267</v>
      </c>
      <c r="M2">
        <v>0.69345544715492868</v>
      </c>
      <c r="N2">
        <v>1.6226630558002999</v>
      </c>
      <c r="O2">
        <v>0.22076486570397039</v>
      </c>
      <c r="P2" t="s">
        <v>20</v>
      </c>
      <c r="Q2">
        <v>0</v>
      </c>
    </row>
    <row r="3" spans="1:17" x14ac:dyDescent="0.3">
      <c r="A3">
        <v>100</v>
      </c>
      <c r="B3">
        <v>100</v>
      </c>
      <c r="C3">
        <v>3</v>
      </c>
      <c r="D3">
        <v>100</v>
      </c>
      <c r="E3">
        <v>10</v>
      </c>
      <c r="F3">
        <v>1</v>
      </c>
      <c r="G3">
        <v>5.0000000000000001E-3</v>
      </c>
      <c r="H3">
        <v>4</v>
      </c>
      <c r="I3" t="b">
        <v>0</v>
      </c>
      <c r="J3" t="b">
        <v>1</v>
      </c>
      <c r="K3">
        <v>1.8534228234472669E-4</v>
      </c>
      <c r="L3">
        <v>1.078478351207327E-4</v>
      </c>
      <c r="M3">
        <v>2.148718128870415E-4</v>
      </c>
      <c r="N3">
        <v>1.7212220297691441E-3</v>
      </c>
      <c r="O3">
        <v>7.8104839257387532E-4</v>
      </c>
      <c r="P3" t="s">
        <v>20</v>
      </c>
      <c r="Q3">
        <v>4</v>
      </c>
    </row>
    <row r="4" spans="1:17" x14ac:dyDescent="0.3">
      <c r="A4">
        <v>100</v>
      </c>
      <c r="B4">
        <v>100</v>
      </c>
      <c r="C4">
        <v>3</v>
      </c>
      <c r="D4">
        <v>100</v>
      </c>
      <c r="E4">
        <v>10</v>
      </c>
      <c r="F4">
        <v>1</v>
      </c>
      <c r="G4">
        <v>5.0000000000000001E-3</v>
      </c>
      <c r="H4">
        <v>6</v>
      </c>
      <c r="I4" t="b">
        <v>0</v>
      </c>
      <c r="J4" t="b">
        <v>1</v>
      </c>
      <c r="K4">
        <v>1.8949974968086279E-3</v>
      </c>
      <c r="L4">
        <v>5.0532833443885398E-4</v>
      </c>
      <c r="M4">
        <v>1.013591240378281E-3</v>
      </c>
      <c r="N4">
        <v>1.1655777080362491E-3</v>
      </c>
      <c r="O4">
        <v>6.5639688966986388E-4</v>
      </c>
      <c r="P4" t="s">
        <v>20</v>
      </c>
      <c r="Q4">
        <v>6</v>
      </c>
    </row>
    <row r="5" spans="1:17" x14ac:dyDescent="0.3">
      <c r="A5">
        <v>100</v>
      </c>
      <c r="B5">
        <v>100</v>
      </c>
      <c r="C5">
        <v>3</v>
      </c>
      <c r="D5">
        <v>100</v>
      </c>
      <c r="E5">
        <v>10</v>
      </c>
      <c r="F5">
        <v>1</v>
      </c>
      <c r="G5">
        <v>5.0000000000000001E-3</v>
      </c>
      <c r="H5">
        <v>8</v>
      </c>
      <c r="I5" t="b">
        <v>0</v>
      </c>
      <c r="J5" t="b">
        <v>1</v>
      </c>
      <c r="K5">
        <v>9.8531583071726395E-5</v>
      </c>
      <c r="L5">
        <v>2.9324884842804251E-5</v>
      </c>
      <c r="M5">
        <v>7.3031297683434624E-5</v>
      </c>
      <c r="N5">
        <v>1.061368680639095E-3</v>
      </c>
      <c r="O5">
        <v>6.2045813587516057E-4</v>
      </c>
      <c r="P5" t="s">
        <v>20</v>
      </c>
      <c r="Q5">
        <v>8</v>
      </c>
    </row>
    <row r="6" spans="1:17" x14ac:dyDescent="0.3">
      <c r="A6">
        <v>100</v>
      </c>
      <c r="B6">
        <v>100</v>
      </c>
      <c r="C6">
        <v>3</v>
      </c>
      <c r="D6">
        <v>100</v>
      </c>
      <c r="E6">
        <v>10</v>
      </c>
      <c r="F6">
        <v>1</v>
      </c>
      <c r="G6">
        <v>5.0000000000000001E-3</v>
      </c>
      <c r="H6">
        <v>12</v>
      </c>
      <c r="I6" t="b">
        <v>0</v>
      </c>
      <c r="J6" t="b">
        <v>1</v>
      </c>
      <c r="K6">
        <v>1.2862637268180681E-4</v>
      </c>
      <c r="L6">
        <v>4.8921425893749773E-5</v>
      </c>
      <c r="M6">
        <v>1.558903359243233E-4</v>
      </c>
      <c r="N6">
        <v>1.420446950893599E-3</v>
      </c>
      <c r="O6">
        <v>6.2221070627574426E-4</v>
      </c>
      <c r="P6" t="s">
        <v>20</v>
      </c>
      <c r="Q6">
        <v>12</v>
      </c>
    </row>
    <row r="7" spans="1:17" x14ac:dyDescent="0.3">
      <c r="A7">
        <v>100</v>
      </c>
      <c r="B7">
        <v>100</v>
      </c>
      <c r="C7">
        <v>3</v>
      </c>
      <c r="D7">
        <v>100</v>
      </c>
      <c r="E7">
        <v>10</v>
      </c>
      <c r="F7">
        <v>1</v>
      </c>
      <c r="G7">
        <v>5.0000000000000001E-3</v>
      </c>
      <c r="H7">
        <v>16</v>
      </c>
      <c r="I7" t="b">
        <v>0</v>
      </c>
      <c r="J7" t="b">
        <v>1</v>
      </c>
      <c r="K7">
        <v>8.5819114290312999E-5</v>
      </c>
      <c r="L7">
        <v>2.8585534338845131E-5</v>
      </c>
      <c r="M7">
        <v>6.2668983451009231E-5</v>
      </c>
      <c r="N7">
        <v>1.0602806058257999E-3</v>
      </c>
      <c r="O7">
        <v>6.2121552842940456E-4</v>
      </c>
      <c r="P7" t="s">
        <v>20</v>
      </c>
      <c r="Q7">
        <v>16</v>
      </c>
    </row>
    <row r="8" spans="1:17" x14ac:dyDescent="0.3">
      <c r="A8">
        <v>100</v>
      </c>
      <c r="B8">
        <v>100</v>
      </c>
      <c r="C8">
        <v>3</v>
      </c>
      <c r="D8">
        <v>100</v>
      </c>
      <c r="E8">
        <v>10</v>
      </c>
      <c r="F8">
        <v>1</v>
      </c>
      <c r="G8">
        <v>5.0000000000000001E-3</v>
      </c>
      <c r="H8">
        <v>18</v>
      </c>
      <c r="I8" t="b">
        <v>0</v>
      </c>
      <c r="J8" t="b">
        <v>1</v>
      </c>
      <c r="K8">
        <v>1.8435614725686799E-4</v>
      </c>
      <c r="L8">
        <v>6.8178347116975256E-5</v>
      </c>
      <c r="M8">
        <v>1.483371015276009E-4</v>
      </c>
      <c r="N8">
        <v>1.1655782366217231E-3</v>
      </c>
      <c r="O8">
        <v>6.5719629700732572E-4</v>
      </c>
      <c r="P8" t="s">
        <v>20</v>
      </c>
      <c r="Q8">
        <v>18</v>
      </c>
    </row>
    <row r="9" spans="1:17" x14ac:dyDescent="0.3">
      <c r="A9">
        <v>100</v>
      </c>
      <c r="B9">
        <v>100</v>
      </c>
      <c r="C9">
        <v>3</v>
      </c>
      <c r="D9">
        <v>100</v>
      </c>
      <c r="E9">
        <v>10</v>
      </c>
      <c r="F9">
        <v>1</v>
      </c>
      <c r="G9">
        <v>5.0000000000000001E-3</v>
      </c>
      <c r="H9">
        <v>20</v>
      </c>
      <c r="I9" t="b">
        <v>0</v>
      </c>
      <c r="J9" t="b">
        <v>1</v>
      </c>
      <c r="K9">
        <v>2.2219004699395621E-4</v>
      </c>
      <c r="L9">
        <v>1.2932136787401549E-4</v>
      </c>
      <c r="M9">
        <v>2.2659657641141E-4</v>
      </c>
      <c r="N9">
        <v>1.721222123488192E-3</v>
      </c>
      <c r="O9">
        <v>7.8164343051043074E-4</v>
      </c>
      <c r="P9" t="s">
        <v>20</v>
      </c>
      <c r="Q9">
        <v>20</v>
      </c>
    </row>
    <row r="10" spans="1:17" x14ac:dyDescent="0.3">
      <c r="A10">
        <v>100</v>
      </c>
      <c r="B10">
        <v>100</v>
      </c>
      <c r="C10">
        <v>3</v>
      </c>
      <c r="D10">
        <v>100</v>
      </c>
      <c r="E10">
        <v>10</v>
      </c>
      <c r="F10">
        <v>1</v>
      </c>
      <c r="G10">
        <v>5.0000000000000001E-3</v>
      </c>
      <c r="H10">
        <v>24</v>
      </c>
      <c r="I10" t="b">
        <v>0</v>
      </c>
      <c r="J10" t="b">
        <v>1</v>
      </c>
      <c r="K10">
        <v>1.39963930260562</v>
      </c>
      <c r="L10">
        <v>0.96879307993954489</v>
      </c>
      <c r="M10">
        <v>0.69351917253068551</v>
      </c>
      <c r="N10">
        <v>1.6226630898614369</v>
      </c>
      <c r="O10">
        <v>0.22076486124879</v>
      </c>
      <c r="P10" t="s">
        <v>20</v>
      </c>
      <c r="Q10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Grid Size</vt:lpstr>
      <vt:lpstr>Length Scale</vt:lpstr>
      <vt:lpstr>Stencil Nodes</vt:lpstr>
      <vt:lpstr>Center Rings</vt:lpstr>
      <vt:lpstr>Eigenvalue Ratio</vt:lpstr>
      <vt:lpstr>Eigenvector Angle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Dennis Corraliza, Jr</cp:lastModifiedBy>
  <dcterms:created xsi:type="dcterms:W3CDTF">2026-07-14T16:52:55Z</dcterms:created>
  <dcterms:modified xsi:type="dcterms:W3CDTF">2026-07-14T19:05:07Z</dcterms:modified>
</cp:coreProperties>
</file>