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Z:\Users\zeonv\Downloads\"/>
    </mc:Choice>
  </mc:AlternateContent>
  <xr:revisionPtr revIDLastSave="0" documentId="13_ncr:1_{30E111D9-55E3-47DD-A264-41F58FF3E99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rid Size" sheetId="1" r:id="rId1"/>
    <sheet name="Length Scale" sheetId="2" r:id="rId2"/>
    <sheet name="Stencil Nodes" sheetId="3" r:id="rId3"/>
    <sheet name="Center" sheetId="4" r:id="rId4"/>
    <sheet name="Eigenvalue Ratio" sheetId="5" r:id="rId5"/>
    <sheet name="Eigenvector Angl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0" i="6" l="1"/>
  <c r="J10" i="6"/>
  <c r="D10" i="6"/>
  <c r="K9" i="6"/>
  <c r="J9" i="6"/>
  <c r="D9" i="6"/>
  <c r="K8" i="6"/>
  <c r="J8" i="6"/>
  <c r="D8" i="6"/>
  <c r="K7" i="6"/>
  <c r="J7" i="6"/>
  <c r="D7" i="6"/>
  <c r="K6" i="6"/>
  <c r="J6" i="6"/>
  <c r="D6" i="6"/>
  <c r="K5" i="6"/>
  <c r="J5" i="6"/>
  <c r="D5" i="6"/>
  <c r="K4" i="6"/>
  <c r="J4" i="6"/>
  <c r="D4" i="6"/>
  <c r="K3" i="6"/>
  <c r="J3" i="6"/>
  <c r="D3" i="6"/>
  <c r="K2" i="6"/>
  <c r="J2" i="6"/>
  <c r="D2" i="6"/>
  <c r="K14" i="5"/>
  <c r="J14" i="5"/>
  <c r="D14" i="5"/>
  <c r="K13" i="5"/>
  <c r="J13" i="5"/>
  <c r="D13" i="5"/>
  <c r="K12" i="5"/>
  <c r="J12" i="5"/>
  <c r="D12" i="5"/>
  <c r="K11" i="5"/>
  <c r="J11" i="5"/>
  <c r="D11" i="5"/>
  <c r="K10" i="5"/>
  <c r="J10" i="5"/>
  <c r="D10" i="5"/>
  <c r="K9" i="5"/>
  <c r="J9" i="5"/>
  <c r="D9" i="5"/>
  <c r="K8" i="5"/>
  <c r="J8" i="5"/>
  <c r="D8" i="5"/>
  <c r="K7" i="5"/>
  <c r="J7" i="5"/>
  <c r="D7" i="5"/>
  <c r="K6" i="5"/>
  <c r="J6" i="5"/>
  <c r="D6" i="5"/>
  <c r="K5" i="5"/>
  <c r="J5" i="5"/>
  <c r="D5" i="5"/>
  <c r="K4" i="5"/>
  <c r="J4" i="5"/>
  <c r="D4" i="5"/>
  <c r="K3" i="5"/>
  <c r="J3" i="5"/>
  <c r="D3" i="5"/>
  <c r="K2" i="5"/>
  <c r="J2" i="5"/>
  <c r="D2" i="5"/>
  <c r="K9" i="4"/>
  <c r="J9" i="4"/>
  <c r="D9" i="4"/>
  <c r="K8" i="4"/>
  <c r="J8" i="4"/>
  <c r="D8" i="4"/>
  <c r="K7" i="4"/>
  <c r="J7" i="4"/>
  <c r="D7" i="4"/>
  <c r="K6" i="4"/>
  <c r="J6" i="4"/>
  <c r="D6" i="4"/>
  <c r="K5" i="4"/>
  <c r="J5" i="4"/>
  <c r="D5" i="4"/>
  <c r="K4" i="4"/>
  <c r="J4" i="4"/>
  <c r="D4" i="4"/>
  <c r="K3" i="4"/>
  <c r="J3" i="4"/>
  <c r="D3" i="4"/>
  <c r="K2" i="4"/>
  <c r="J2" i="4"/>
  <c r="D2" i="4"/>
  <c r="K9" i="3"/>
  <c r="J9" i="3"/>
  <c r="D9" i="3"/>
  <c r="K8" i="3"/>
  <c r="J8" i="3"/>
  <c r="D8" i="3"/>
  <c r="K7" i="3"/>
  <c r="J7" i="3"/>
  <c r="D7" i="3"/>
  <c r="K6" i="3"/>
  <c r="J6" i="3"/>
  <c r="D6" i="3"/>
  <c r="K5" i="3"/>
  <c r="J5" i="3"/>
  <c r="D5" i="3"/>
  <c r="K4" i="3"/>
  <c r="J4" i="3"/>
  <c r="D4" i="3"/>
  <c r="K3" i="3"/>
  <c r="J3" i="3"/>
  <c r="D3" i="3"/>
  <c r="K2" i="3"/>
  <c r="J2" i="3"/>
  <c r="D2" i="3"/>
  <c r="K10" i="2"/>
  <c r="J10" i="2"/>
  <c r="D10" i="2"/>
  <c r="K9" i="2"/>
  <c r="J9" i="2"/>
  <c r="D9" i="2"/>
  <c r="K8" i="2"/>
  <c r="J8" i="2"/>
  <c r="D8" i="2"/>
  <c r="K7" i="2"/>
  <c r="J7" i="2"/>
  <c r="D7" i="2"/>
  <c r="K6" i="2"/>
  <c r="J6" i="2"/>
  <c r="D6" i="2"/>
  <c r="K5" i="2"/>
  <c r="J5" i="2"/>
  <c r="D5" i="2"/>
  <c r="K4" i="2"/>
  <c r="J4" i="2"/>
  <c r="D4" i="2"/>
  <c r="K3" i="2"/>
  <c r="J3" i="2"/>
  <c r="D3" i="2"/>
  <c r="K2" i="2"/>
  <c r="J2" i="2"/>
  <c r="D2" i="2"/>
  <c r="K14" i="1"/>
  <c r="J14" i="1"/>
  <c r="D14" i="1"/>
  <c r="K13" i="1"/>
  <c r="J13" i="1"/>
  <c r="D13" i="1"/>
  <c r="K12" i="1"/>
  <c r="J12" i="1"/>
  <c r="D12" i="1"/>
  <c r="K11" i="1"/>
  <c r="J11" i="1"/>
  <c r="D11" i="1"/>
  <c r="K10" i="1"/>
  <c r="J10" i="1"/>
  <c r="D10" i="1"/>
  <c r="K9" i="1"/>
  <c r="J9" i="1"/>
  <c r="D9" i="1"/>
  <c r="K8" i="1"/>
  <c r="J8" i="1"/>
  <c r="D8" i="1"/>
  <c r="K7" i="1"/>
  <c r="J7" i="1"/>
  <c r="D7" i="1"/>
  <c r="K6" i="1"/>
  <c r="J6" i="1"/>
  <c r="D6" i="1"/>
  <c r="K5" i="1"/>
  <c r="J5" i="1"/>
  <c r="D5" i="1"/>
  <c r="K4" i="1"/>
  <c r="J4" i="1"/>
  <c r="D4" i="1"/>
  <c r="K3" i="1"/>
  <c r="J3" i="1"/>
  <c r="D3" i="1"/>
  <c r="K2" i="1"/>
  <c r="J2" i="1"/>
  <c r="D2" i="1"/>
</calcChain>
</file>

<file path=xl/sharedStrings.xml><?xml version="1.0" encoding="utf-8"?>
<sst xmlns="http://schemas.openxmlformats.org/spreadsheetml/2006/main" count="364" uniqueCount="45">
  <si>
    <t>Nx</t>
  </si>
  <si>
    <t>Ny</t>
  </si>
  <si>
    <t>eps</t>
  </si>
  <si>
    <t>fixed_eps</t>
  </si>
  <si>
    <t>num_stencil_nodes</t>
  </si>
  <si>
    <t>num_centers</t>
  </si>
  <si>
    <t>eigenvalue 1</t>
  </si>
  <si>
    <t>eigenvalue 2</t>
  </si>
  <si>
    <t>radian = r/24</t>
  </si>
  <si>
    <t>augmentation</t>
  </si>
  <si>
    <t>sparse</t>
  </si>
  <si>
    <t>u_exact - u max_error_rel</t>
  </si>
  <si>
    <t>u_exact - u l2_error_rel</t>
  </si>
  <si>
    <t>Lu_exact - F max_residual_rel</t>
  </si>
  <si>
    <t>Lu_exact - F l2_residual_rel</t>
  </si>
  <si>
    <t>varied_param</t>
  </si>
  <si>
    <t>varied_value</t>
  </si>
  <si>
    <t>lambda p: 1e0</t>
  </si>
  <si>
    <t>lambda p: 1e-4</t>
  </si>
  <si>
    <t>lambda p: 12.0/24.0*np.pi</t>
  </si>
  <si>
    <t>N_int</t>
  </si>
  <si>
    <t>Inverse Length Scale</t>
  </si>
  <si>
    <t>lambda p: 10.0</t>
  </si>
  <si>
    <t>eig_2</t>
  </si>
  <si>
    <t>lambda p: 5.0</t>
  </si>
  <si>
    <t>lambda p: 1.0</t>
  </si>
  <si>
    <t>lambda p: 0.5</t>
  </si>
  <si>
    <t>lambda p: 0.1</t>
  </si>
  <si>
    <t>lambda p: 0.05</t>
  </si>
  <si>
    <t>lambda p: 0.01</t>
  </si>
  <si>
    <t>lambda p: 0.005</t>
  </si>
  <si>
    <t>lambda p: 0.001</t>
  </si>
  <si>
    <t>lambda p: 0.0005</t>
  </si>
  <si>
    <t>lambda p: 0.0001</t>
  </si>
  <si>
    <t>lambda p: 5e-05</t>
  </si>
  <si>
    <t>lambda p: 1e-05</t>
  </si>
  <si>
    <t>lambda p: 0.0/24.0*np.pi</t>
  </si>
  <si>
    <t>angle</t>
  </si>
  <si>
    <t>lambda p: 4.0/24.0*np.pi</t>
  </si>
  <si>
    <t>lambda p: 6.0/24.0*np.pi</t>
  </si>
  <si>
    <t>lambda p: 8.0/24.0*np.pi</t>
  </si>
  <si>
    <t>lambda p: 16.0/24.0*np.pi</t>
  </si>
  <si>
    <t>lambda p: 18.0/24.0*np.pi</t>
  </si>
  <si>
    <t>lambda p: 20.0/24.0*np.pi</t>
  </si>
  <si>
    <t>lambda p: 24.0/24.0*np.pi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</si>
</sst>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i="0" u="none" strike="noStrike" kern="1200" spc="-1" baseline="0">
                <a:solidFill>
                  <a:srgbClr val="000000"/>
                </a:solidFill>
                <a:latin typeface="Calibri"/>
              </a:rPr>
              <a:t>eps=4, nodes=14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'Grid Size'!$L$1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Size'!$L$2:$L$14</c:f>
              <c:numCache>
                <c:formatCode>General</c:formatCode>
                <c:ptCount val="13"/>
                <c:pt idx="0">
                  <c:v>6.9716110598926301E-4</c:v>
                </c:pt>
                <c:pt idx="1">
                  <c:v>1.3970620866327101E-4</c:v>
                </c:pt>
                <c:pt idx="2">
                  <c:v>1.78336923525154E-5</c:v>
                </c:pt>
                <c:pt idx="3">
                  <c:v>3.4766942360225501E-6</c:v>
                </c:pt>
                <c:pt idx="4">
                  <c:v>1.16956949967203E-6</c:v>
                </c:pt>
                <c:pt idx="5">
                  <c:v>2.4806419065635299E-6</c:v>
                </c:pt>
                <c:pt idx="6">
                  <c:v>1.7105754138904801E-6</c:v>
                </c:pt>
                <c:pt idx="7">
                  <c:v>8.2665615504357496E-6</c:v>
                </c:pt>
                <c:pt idx="8">
                  <c:v>5.24975204230471E-5</c:v>
                </c:pt>
                <c:pt idx="9">
                  <c:v>3.8611787513147901E-4</c:v>
                </c:pt>
                <c:pt idx="10">
                  <c:v>6.2919856164697305E-4</c:v>
                </c:pt>
                <c:pt idx="11">
                  <c:v>0.221953679206362</c:v>
                </c:pt>
                <c:pt idx="12">
                  <c:v>1.6938451345197599E-3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6F-40B3-9BFF-3A4C6D5E386E}"/>
            </c:ext>
          </c:extLst>
        </c:ser>
        <c:ser>
          <c:idx val="2"/>
          <c:order val="1"/>
          <c:tx>
            <c:strRef>
              <c:f>'Grid Size'!$M$1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Size'!$M$2:$M$14</c:f>
              <c:numCache>
                <c:formatCode>General</c:formatCode>
                <c:ptCount val="13"/>
                <c:pt idx="0">
                  <c:v>7.7065551881398502E-4</c:v>
                </c:pt>
                <c:pt idx="1">
                  <c:v>1.4829590135960301E-4</c:v>
                </c:pt>
                <c:pt idx="2">
                  <c:v>1.8236025909479999E-5</c:v>
                </c:pt>
                <c:pt idx="3">
                  <c:v>3.4781388291098199E-6</c:v>
                </c:pt>
                <c:pt idx="4">
                  <c:v>1.14656451180711E-6</c:v>
                </c:pt>
                <c:pt idx="5">
                  <c:v>8.0503695848584099E-7</c:v>
                </c:pt>
                <c:pt idx="6">
                  <c:v>7.9414179849316699E-7</c:v>
                </c:pt>
                <c:pt idx="7">
                  <c:v>4.18858591093367E-6</c:v>
                </c:pt>
                <c:pt idx="8">
                  <c:v>1.25936802570738E-5</c:v>
                </c:pt>
                <c:pt idx="9">
                  <c:v>2.3027318015943999E-4</c:v>
                </c:pt>
                <c:pt idx="10">
                  <c:v>2.09300815578399E-4</c:v>
                </c:pt>
                <c:pt idx="11">
                  <c:v>9.7925449916588095E-2</c:v>
                </c:pt>
                <c:pt idx="12">
                  <c:v>7.6128965235649495E-4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6F-40B3-9BFF-3A4C6D5E386E}"/>
            </c:ext>
          </c:extLst>
        </c:ser>
        <c:ser>
          <c:idx val="3"/>
          <c:order val="2"/>
          <c:tx>
            <c:strRef>
              <c:f>'Grid Size'!$N$1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Size'!$N$2:$N$14</c:f>
              <c:numCache>
                <c:formatCode>General</c:formatCode>
                <c:ptCount val="13"/>
                <c:pt idx="0">
                  <c:v>1.2055269270226999E-2</c:v>
                </c:pt>
                <c:pt idx="1">
                  <c:v>3.8191596213491301E-3</c:v>
                </c:pt>
                <c:pt idx="2">
                  <c:v>8.6499951171573996E-4</c:v>
                </c:pt>
                <c:pt idx="3">
                  <c:v>2.6206790732555198E-4</c:v>
                </c:pt>
                <c:pt idx="4">
                  <c:v>1.11845287912025E-4</c:v>
                </c:pt>
                <c:pt idx="5">
                  <c:v>5.8095386101962602E-5</c:v>
                </c:pt>
                <c:pt idx="6">
                  <c:v>8.5134456682793699E-4</c:v>
                </c:pt>
                <c:pt idx="7">
                  <c:v>3.0720732557846801E-3</c:v>
                </c:pt>
                <c:pt idx="8">
                  <c:v>8.2559125708855105E-4</c:v>
                </c:pt>
                <c:pt idx="9">
                  <c:v>1.4894561200592499E-4</c:v>
                </c:pt>
                <c:pt idx="10">
                  <c:v>2.08511862901756E-4</c:v>
                </c:pt>
                <c:pt idx="11">
                  <c:v>0.42380778565754401</c:v>
                </c:pt>
                <c:pt idx="12">
                  <c:v>1.69860605379086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6F-40B3-9BFF-3A4C6D5E386E}"/>
            </c:ext>
          </c:extLst>
        </c:ser>
        <c:ser>
          <c:idx val="4"/>
          <c:order val="3"/>
          <c:tx>
            <c:strRef>
              <c:f>'Grid Size'!$O$1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Size'!$O$2:$O$14</c:f>
              <c:numCache>
                <c:formatCode>General</c:formatCode>
                <c:ptCount val="13"/>
                <c:pt idx="0">
                  <c:v>4.6003022903833004E-3</c:v>
                </c:pt>
                <c:pt idx="1">
                  <c:v>1.19945212561999E-3</c:v>
                </c:pt>
                <c:pt idx="2">
                  <c:v>2.1184128564217001E-4</c:v>
                </c:pt>
                <c:pt idx="3">
                  <c:v>5.2553482998408402E-5</c:v>
                </c:pt>
                <c:pt idx="4">
                  <c:v>1.9438134934549902E-5</c:v>
                </c:pt>
                <c:pt idx="5">
                  <c:v>8.9922083564946701E-6</c:v>
                </c:pt>
                <c:pt idx="6">
                  <c:v>1.3229760139571499E-5</c:v>
                </c:pt>
                <c:pt idx="7">
                  <c:v>4.1951734608218601E-5</c:v>
                </c:pt>
                <c:pt idx="8">
                  <c:v>2.2967467536098201E-5</c:v>
                </c:pt>
                <c:pt idx="9">
                  <c:v>5.18154957780047E-5</c:v>
                </c:pt>
                <c:pt idx="10">
                  <c:v>3.64573042060315E-5</c:v>
                </c:pt>
                <c:pt idx="11">
                  <c:v>9.8475894887951696E-3</c:v>
                </c:pt>
                <c:pt idx="12">
                  <c:v>8.6663422022718699E-3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6F-40B3-9BFF-3A4C6D5E3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93751"/>
        <c:axId val="59365344"/>
      </c:scatterChart>
      <c:valAx>
        <c:axId val="7459375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365344"/>
        <c:crosses val="autoZero"/>
        <c:crossBetween val="midCat"/>
      </c:valAx>
      <c:valAx>
        <c:axId val="5936534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593751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3271236186949995"/>
          <c:y val="0.32662914149734573"/>
          <c:w val="0.24753063372795486"/>
          <c:h val="0.2212520593080724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'Length Scale'!$K$1</c:f>
              <c:strCache>
                <c:ptCount val="1"/>
                <c:pt idx="0">
                  <c:v>sparse</c:v>
                </c:pt>
              </c:strCache>
            </c:strRef>
          </c:tx>
          <c:spPr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Scale'!$Q$2:$Q$10</c:f>
              <c:numCache>
                <c:formatCode>General</c:formatCode>
                <c:ptCount val="9"/>
                <c:pt idx="0">
                  <c:v>1E-3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0.05</c:v>
                </c:pt>
                <c:pt idx="4">
                  <c:v>0.1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'Length Scale'!$K$2:$K$10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1B-49EB-A57F-ADF12DCE05EB}"/>
            </c:ext>
          </c:extLst>
        </c:ser>
        <c:ser>
          <c:idx val="1"/>
          <c:order val="1"/>
          <c:tx>
            <c:strRef>
              <c:f>'Length Scale'!$L$1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Scale'!$Q$2:$Q$10</c:f>
              <c:numCache>
                <c:formatCode>General</c:formatCode>
                <c:ptCount val="9"/>
                <c:pt idx="0">
                  <c:v>1E-3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0.05</c:v>
                </c:pt>
                <c:pt idx="4">
                  <c:v>0.1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'Length Scale'!$L$2:$L$10</c:f>
              <c:numCache>
                <c:formatCode>General</c:formatCode>
                <c:ptCount val="9"/>
                <c:pt idx="0">
                  <c:v>302.121689072008</c:v>
                </c:pt>
                <c:pt idx="1">
                  <c:v>2.0193832858638601</c:v>
                </c:pt>
                <c:pt idx="2">
                  <c:v>0.86260583162546201</c:v>
                </c:pt>
                <c:pt idx="3">
                  <c:v>0.558279529329613</c:v>
                </c:pt>
                <c:pt idx="4">
                  <c:v>6.5290576691305402</c:v>
                </c:pt>
                <c:pt idx="5">
                  <c:v>7.9946644018700497E-3</c:v>
                </c:pt>
                <c:pt idx="6">
                  <c:v>1.9416854791362102E-2</c:v>
                </c:pt>
                <c:pt idx="7">
                  <c:v>2.3098989543877699E-4</c:v>
                </c:pt>
                <c:pt idx="8">
                  <c:v>5.8265465250356197E-4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1B-49EB-A57F-ADF12DCE05EB}"/>
            </c:ext>
          </c:extLst>
        </c:ser>
        <c:ser>
          <c:idx val="2"/>
          <c:order val="2"/>
          <c:tx>
            <c:strRef>
              <c:f>'Length Scale'!$M$1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Scale'!$Q$2:$Q$10</c:f>
              <c:numCache>
                <c:formatCode>General</c:formatCode>
                <c:ptCount val="9"/>
                <c:pt idx="0">
                  <c:v>1E-3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0.05</c:v>
                </c:pt>
                <c:pt idx="4">
                  <c:v>0.1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'Length Scale'!$M$2:$M$10</c:f>
              <c:numCache>
                <c:formatCode>General</c:formatCode>
                <c:ptCount val="9"/>
                <c:pt idx="0">
                  <c:v>164.95388239643799</c:v>
                </c:pt>
                <c:pt idx="1">
                  <c:v>1.5163930304203801</c:v>
                </c:pt>
                <c:pt idx="2">
                  <c:v>0.64982933193970205</c:v>
                </c:pt>
                <c:pt idx="3">
                  <c:v>0.354987484294567</c:v>
                </c:pt>
                <c:pt idx="4">
                  <c:v>3.8544957886029199</c:v>
                </c:pt>
                <c:pt idx="5">
                  <c:v>5.0082430094966603E-3</c:v>
                </c:pt>
                <c:pt idx="6">
                  <c:v>7.8223648276415196E-3</c:v>
                </c:pt>
                <c:pt idx="7">
                  <c:v>2.3511350696356199E-4</c:v>
                </c:pt>
                <c:pt idx="8">
                  <c:v>5.5329271351145395E-4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1B-49EB-A57F-ADF12DCE05EB}"/>
            </c:ext>
          </c:extLst>
        </c:ser>
        <c:ser>
          <c:idx val="3"/>
          <c:order val="3"/>
          <c:tx>
            <c:strRef>
              <c:f>'Length Scale'!$N$1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Scale'!$Q$2:$Q$10</c:f>
              <c:numCache>
                <c:formatCode>General</c:formatCode>
                <c:ptCount val="9"/>
                <c:pt idx="0">
                  <c:v>1E-3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0.05</c:v>
                </c:pt>
                <c:pt idx="4">
                  <c:v>0.1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'Length Scale'!$N$2:$N$10</c:f>
              <c:numCache>
                <c:formatCode>General</c:formatCode>
                <c:ptCount val="9"/>
                <c:pt idx="0">
                  <c:v>8.5911596514598898</c:v>
                </c:pt>
                <c:pt idx="1">
                  <c:v>33151610949.451599</c:v>
                </c:pt>
                <c:pt idx="2">
                  <c:v>37.644689101234498</c:v>
                </c:pt>
                <c:pt idx="3">
                  <c:v>251.191419007696</c:v>
                </c:pt>
                <c:pt idx="4">
                  <c:v>1.4943226122853901</c:v>
                </c:pt>
                <c:pt idx="5">
                  <c:v>8.9527232003821808</c:v>
                </c:pt>
                <c:pt idx="6">
                  <c:v>6.6730704073151903E-2</c:v>
                </c:pt>
                <c:pt idx="7">
                  <c:v>2.8698245084866301E-4</c:v>
                </c:pt>
                <c:pt idx="8">
                  <c:v>1.5470182445799201E-4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1B-49EB-A57F-ADF12DCE05EB}"/>
            </c:ext>
          </c:extLst>
        </c:ser>
        <c:ser>
          <c:idx val="4"/>
          <c:order val="4"/>
          <c:tx>
            <c:strRef>
              <c:f>'Length Scale'!$O$1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Scale'!$Q$2:$Q$10</c:f>
              <c:numCache>
                <c:formatCode>General</c:formatCode>
                <c:ptCount val="9"/>
                <c:pt idx="0">
                  <c:v>1E-3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0.05</c:v>
                </c:pt>
                <c:pt idx="4">
                  <c:v>0.1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'Length Scale'!$O$2:$O$10</c:f>
              <c:numCache>
                <c:formatCode>General</c:formatCode>
                <c:ptCount val="9"/>
                <c:pt idx="0">
                  <c:v>1.01093394554938</c:v>
                </c:pt>
                <c:pt idx="1">
                  <c:v>980404677.96054196</c:v>
                </c:pt>
                <c:pt idx="2">
                  <c:v>1.0483114694750399</c:v>
                </c:pt>
                <c:pt idx="3">
                  <c:v>8.3281398225246193</c:v>
                </c:pt>
                <c:pt idx="4">
                  <c:v>0.115976796701396</c:v>
                </c:pt>
                <c:pt idx="5">
                  <c:v>0.19369157658321901</c:v>
                </c:pt>
                <c:pt idx="6">
                  <c:v>1.54169058069984E-2</c:v>
                </c:pt>
                <c:pt idx="7">
                  <c:v>2.2592060044785599E-4</c:v>
                </c:pt>
                <c:pt idx="8">
                  <c:v>1.08034540313062E-5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01B-49EB-A57F-ADF12DCE0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32243"/>
        <c:axId val="38483170"/>
      </c:scatterChart>
      <c:valAx>
        <c:axId val="670322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483170"/>
        <c:crosses val="autoZero"/>
        <c:crossBetween val="midCat"/>
      </c:valAx>
      <c:valAx>
        <c:axId val="3848317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03224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'Stencil Nodes'!$K$1</c:f>
              <c:strCache>
                <c:ptCount val="1"/>
                <c:pt idx="0">
                  <c:v>sparse</c:v>
                </c:pt>
              </c:strCache>
            </c:strRef>
          </c:tx>
          <c:spPr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Nodes'!$K$2:$K$9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91-482F-87E7-B5E222209BC4}"/>
            </c:ext>
          </c:extLst>
        </c:ser>
        <c:ser>
          <c:idx val="1"/>
          <c:order val="1"/>
          <c:tx>
            <c:strRef>
              <c:f>'Stencil Nodes'!$L$1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Nodes'!$L$2:$L$9</c:f>
              <c:numCache>
                <c:formatCode>General</c:formatCode>
                <c:ptCount val="8"/>
                <c:pt idx="0">
                  <c:v>1.0171480674818201E-3</c:v>
                </c:pt>
                <c:pt idx="1">
                  <c:v>1.0171482252177E-3</c:v>
                </c:pt>
                <c:pt idx="2">
                  <c:v>1.01624514329868E-3</c:v>
                </c:pt>
                <c:pt idx="3">
                  <c:v>1.31143419077159E-6</c:v>
                </c:pt>
                <c:pt idx="4">
                  <c:v>3.7909385214629901E-5</c:v>
                </c:pt>
                <c:pt idx="5">
                  <c:v>2.20663818942722E-4</c:v>
                </c:pt>
                <c:pt idx="6">
                  <c:v>1.2314285012373499E-4</c:v>
                </c:pt>
                <c:pt idx="7">
                  <c:v>3.1441263950749E-5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91-482F-87E7-B5E222209BC4}"/>
            </c:ext>
          </c:extLst>
        </c:ser>
        <c:ser>
          <c:idx val="2"/>
          <c:order val="2"/>
          <c:tx>
            <c:strRef>
              <c:f>'Stencil Nodes'!$M$1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Nodes'!$M$2:$M$9</c:f>
              <c:numCache>
                <c:formatCode>General</c:formatCode>
                <c:ptCount val="8"/>
                <c:pt idx="0">
                  <c:v>1.0328741563940601E-3</c:v>
                </c:pt>
                <c:pt idx="1">
                  <c:v>1.0328742076978199E-3</c:v>
                </c:pt>
                <c:pt idx="2">
                  <c:v>1.03091673902683E-3</c:v>
                </c:pt>
                <c:pt idx="3">
                  <c:v>1.1634881780352099E-6</c:v>
                </c:pt>
                <c:pt idx="4">
                  <c:v>1.15034239619844E-5</c:v>
                </c:pt>
                <c:pt idx="5">
                  <c:v>7.7192265780235794E-5</c:v>
                </c:pt>
                <c:pt idx="6">
                  <c:v>6.7108486061014404E-5</c:v>
                </c:pt>
                <c:pt idx="7">
                  <c:v>1.4102223584607E-5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91-482F-87E7-B5E222209BC4}"/>
            </c:ext>
          </c:extLst>
        </c:ser>
        <c:ser>
          <c:idx val="3"/>
          <c:order val="3"/>
          <c:tx>
            <c:strRef>
              <c:f>'Stencil Nodes'!$N$1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Nodes'!$N$2:$N$9</c:f>
              <c:numCache>
                <c:formatCode>General</c:formatCode>
                <c:ptCount val="8"/>
                <c:pt idx="0">
                  <c:v>8.4659285766445602E-4</c:v>
                </c:pt>
                <c:pt idx="1">
                  <c:v>8.4659325907853096E-4</c:v>
                </c:pt>
                <c:pt idx="2">
                  <c:v>9.00311662427818E-4</c:v>
                </c:pt>
                <c:pt idx="3">
                  <c:v>1.11837223666229E-4</c:v>
                </c:pt>
                <c:pt idx="4">
                  <c:v>1.13257208283069E-4</c:v>
                </c:pt>
                <c:pt idx="5">
                  <c:v>7.6407907978812998E-3</c:v>
                </c:pt>
                <c:pt idx="6">
                  <c:v>3.8557952152348099E-2</c:v>
                </c:pt>
                <c:pt idx="7">
                  <c:v>6.1330221179640897E-2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91-482F-87E7-B5E222209BC4}"/>
            </c:ext>
          </c:extLst>
        </c:ser>
        <c:ser>
          <c:idx val="4"/>
          <c:order val="4"/>
          <c:tx>
            <c:strRef>
              <c:f>'Stencil Nodes'!$O$1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Nodes'!$O$2:$O$9</c:f>
              <c:numCache>
                <c:formatCode>General</c:formatCode>
                <c:ptCount val="8"/>
                <c:pt idx="0">
                  <c:v>8.6042938964118196E-4</c:v>
                </c:pt>
                <c:pt idx="1">
                  <c:v>8.6042940514550602E-4</c:v>
                </c:pt>
                <c:pt idx="2">
                  <c:v>8.62681604318589E-4</c:v>
                </c:pt>
                <c:pt idx="3">
                  <c:v>1.9442423121984899E-5</c:v>
                </c:pt>
                <c:pt idx="4">
                  <c:v>1.98849298067242E-5</c:v>
                </c:pt>
                <c:pt idx="5">
                  <c:v>1.8232057179317E-4</c:v>
                </c:pt>
                <c:pt idx="6">
                  <c:v>8.4058592650903597E-4</c:v>
                </c:pt>
                <c:pt idx="7">
                  <c:v>1.5846363059701101E-3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91-482F-87E7-B5E222209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962"/>
        <c:axId val="52066524"/>
      </c:scatterChart>
      <c:valAx>
        <c:axId val="19269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066524"/>
        <c:crosses val="autoZero"/>
        <c:crossBetween val="midCat"/>
      </c:valAx>
      <c:valAx>
        <c:axId val="5206652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2696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Center: Relative Errors &amp; Residuals vs num_centers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Center!$K$1</c:f>
              <c:strCache>
                <c:ptCount val="1"/>
                <c:pt idx="0">
                  <c:v>sparse</c:v>
                </c:pt>
              </c:strCache>
            </c:strRef>
          </c:tx>
          <c:spPr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Center!$Q$2:$Q$9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Center!$K$2:$K$9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93-4B33-9CCB-19E34C2629AE}"/>
            </c:ext>
          </c:extLst>
        </c:ser>
        <c:ser>
          <c:idx val="1"/>
          <c:order val="1"/>
          <c:tx>
            <c:strRef>
              <c:f>Center!$L$1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Center!$Q$2:$Q$9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Center!$L$2:$L$9</c:f>
              <c:numCache>
                <c:formatCode>General</c:formatCode>
                <c:ptCount val="8"/>
                <c:pt idx="0">
                  <c:v>9.57277070735888E-7</c:v>
                </c:pt>
                <c:pt idx="1">
                  <c:v>9.4346744636318E-7</c:v>
                </c:pt>
                <c:pt idx="2">
                  <c:v>9.4992171736927397E-7</c:v>
                </c:pt>
                <c:pt idx="3">
                  <c:v>9.5424643402481107E-7</c:v>
                </c:pt>
                <c:pt idx="4">
                  <c:v>9.4922363821505895E-7</c:v>
                </c:pt>
                <c:pt idx="5">
                  <c:v>9.5455652348609493E-7</c:v>
                </c:pt>
                <c:pt idx="6">
                  <c:v>9.5066415935864303E-7</c:v>
                </c:pt>
                <c:pt idx="7">
                  <c:v>9.5501198483127795E-7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93-4B33-9CCB-19E34C2629AE}"/>
            </c:ext>
          </c:extLst>
        </c:ser>
        <c:ser>
          <c:idx val="2"/>
          <c:order val="2"/>
          <c:tx>
            <c:strRef>
              <c:f>Center!$M$1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Center!$Q$2:$Q$9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Center!$M$2:$M$9</c:f>
              <c:numCache>
                <c:formatCode>General</c:formatCode>
                <c:ptCount val="8"/>
                <c:pt idx="0">
                  <c:v>9.1424079233395897E-7</c:v>
                </c:pt>
                <c:pt idx="1">
                  <c:v>9.0259773105963797E-7</c:v>
                </c:pt>
                <c:pt idx="2">
                  <c:v>9.0903398007102299E-7</c:v>
                </c:pt>
                <c:pt idx="3">
                  <c:v>9.1164882644555295E-7</c:v>
                </c:pt>
                <c:pt idx="4">
                  <c:v>9.0620610988048305E-7</c:v>
                </c:pt>
                <c:pt idx="5">
                  <c:v>9.1328066564696404E-7</c:v>
                </c:pt>
                <c:pt idx="6">
                  <c:v>9.1065072840675296E-7</c:v>
                </c:pt>
                <c:pt idx="7">
                  <c:v>9.1451566457622302E-7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93-4B33-9CCB-19E34C2629AE}"/>
            </c:ext>
          </c:extLst>
        </c:ser>
        <c:ser>
          <c:idx val="3"/>
          <c:order val="3"/>
          <c:tx>
            <c:strRef>
              <c:f>Center!$N$1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Center!$Q$2:$Q$9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Center!$N$2:$N$9</c:f>
              <c:numCache>
                <c:formatCode>General</c:formatCode>
                <c:ptCount val="8"/>
                <c:pt idx="0">
                  <c:v>3.4110470428384402E-5</c:v>
                </c:pt>
                <c:pt idx="1">
                  <c:v>3.8161656899720298E-5</c:v>
                </c:pt>
                <c:pt idx="2">
                  <c:v>3.6863553387572599E-5</c:v>
                </c:pt>
                <c:pt idx="3">
                  <c:v>3.9610464494572398E-5</c:v>
                </c:pt>
                <c:pt idx="4">
                  <c:v>4.0321836239554703E-5</c:v>
                </c:pt>
                <c:pt idx="5">
                  <c:v>3.7803209643171499E-5</c:v>
                </c:pt>
                <c:pt idx="6">
                  <c:v>3.6400289607114803E-5</c:v>
                </c:pt>
                <c:pt idx="7">
                  <c:v>3.4172603880536997E-5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93-4B33-9CCB-19E34C2629AE}"/>
            </c:ext>
          </c:extLst>
        </c:ser>
        <c:ser>
          <c:idx val="4"/>
          <c:order val="4"/>
          <c:tx>
            <c:strRef>
              <c:f>Center!$O$1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Center!$Q$2:$Q$9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Center!$O$2:$O$9</c:f>
              <c:numCache>
                <c:formatCode>General</c:formatCode>
                <c:ptCount val="8"/>
                <c:pt idx="0">
                  <c:v>6.3058168761926903E-6</c:v>
                </c:pt>
                <c:pt idx="1">
                  <c:v>6.6099403353705002E-6</c:v>
                </c:pt>
                <c:pt idx="2">
                  <c:v>6.5364656021824199E-6</c:v>
                </c:pt>
                <c:pt idx="3">
                  <c:v>6.7800465097861596E-6</c:v>
                </c:pt>
                <c:pt idx="4">
                  <c:v>6.63788602883113E-6</c:v>
                </c:pt>
                <c:pt idx="5">
                  <c:v>6.6343500260794798E-6</c:v>
                </c:pt>
                <c:pt idx="6">
                  <c:v>6.5574962958403102E-6</c:v>
                </c:pt>
                <c:pt idx="7">
                  <c:v>6.3799052174043399E-6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93-4B33-9CCB-19E34C262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8738"/>
        <c:axId val="39659188"/>
      </c:scatterChart>
      <c:valAx>
        <c:axId val="4043873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num_centers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659188"/>
        <c:crosses val="autoZero"/>
        <c:crossBetween val="midCat"/>
      </c:valAx>
      <c:valAx>
        <c:axId val="3965918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43873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'Eigenvalue Ratio'!$K$1</c:f>
              <c:strCache>
                <c:ptCount val="1"/>
                <c:pt idx="0">
                  <c:v>sparse</c:v>
                </c:pt>
              </c:strCache>
            </c:strRef>
          </c:tx>
          <c:spPr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'Eigenvalue Ratio'!$Q$2:$Q$14</c:f>
              <c:strCache>
                <c:ptCount val="13"/>
                <c:pt idx="0">
                  <c:v>lambda p: 10.0</c:v>
                </c:pt>
                <c:pt idx="1">
                  <c:v>lambda p: 5.0</c:v>
                </c:pt>
                <c:pt idx="2">
                  <c:v>lambda p: 1.0</c:v>
                </c:pt>
                <c:pt idx="3">
                  <c:v>lambda p: 0.5</c:v>
                </c:pt>
                <c:pt idx="4">
                  <c:v>lambda p: 0.1</c:v>
                </c:pt>
                <c:pt idx="5">
                  <c:v>lambda p: 0.05</c:v>
                </c:pt>
                <c:pt idx="6">
                  <c:v>lambda p: 0.01</c:v>
                </c:pt>
                <c:pt idx="7">
                  <c:v>lambda p: 0.005</c:v>
                </c:pt>
                <c:pt idx="8">
                  <c:v>lambda p: 0.001</c:v>
                </c:pt>
                <c:pt idx="9">
                  <c:v>lambda p: 0.0005</c:v>
                </c:pt>
                <c:pt idx="10">
                  <c:v>lambda p: 0.0001</c:v>
                </c:pt>
                <c:pt idx="11">
                  <c:v>lambda p: 5e-05</c:v>
                </c:pt>
                <c:pt idx="12">
                  <c:v>lambda p: 1e-05</c:v>
                </c:pt>
              </c:strCache>
            </c:str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C3-4E8D-927E-A49718F8213D}"/>
            </c:ext>
          </c:extLst>
        </c:ser>
        <c:ser>
          <c:idx val="1"/>
          <c:order val="1"/>
          <c:tx>
            <c:strRef>
              <c:f>'Eigenvalue Ratio'!$L$1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'Eigenvalue Ratio'!$Q$2:$Q$14</c:f>
              <c:strCache>
                <c:ptCount val="13"/>
                <c:pt idx="0">
                  <c:v>lambda p: 10.0</c:v>
                </c:pt>
                <c:pt idx="1">
                  <c:v>lambda p: 5.0</c:v>
                </c:pt>
                <c:pt idx="2">
                  <c:v>lambda p: 1.0</c:v>
                </c:pt>
                <c:pt idx="3">
                  <c:v>lambda p: 0.5</c:v>
                </c:pt>
                <c:pt idx="4">
                  <c:v>lambda p: 0.1</c:v>
                </c:pt>
                <c:pt idx="5">
                  <c:v>lambda p: 0.05</c:v>
                </c:pt>
                <c:pt idx="6">
                  <c:v>lambda p: 0.01</c:v>
                </c:pt>
                <c:pt idx="7">
                  <c:v>lambda p: 0.005</c:v>
                </c:pt>
                <c:pt idx="8">
                  <c:v>lambda p: 0.001</c:v>
                </c:pt>
                <c:pt idx="9">
                  <c:v>lambda p: 0.0005</c:v>
                </c:pt>
                <c:pt idx="10">
                  <c:v>lambda p: 0.0001</c:v>
                </c:pt>
                <c:pt idx="11">
                  <c:v>lambda p: 5e-05</c:v>
                </c:pt>
                <c:pt idx="12">
                  <c:v>lambda p: 1e-05</c:v>
                </c:pt>
              </c:strCache>
            </c:str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5.9599857480991099E-7</c:v>
                </c:pt>
                <c:pt idx="1">
                  <c:v>5.6468142039230999E-7</c:v>
                </c:pt>
                <c:pt idx="2">
                  <c:v>1.0693189742063E-6</c:v>
                </c:pt>
                <c:pt idx="3">
                  <c:v>9.4476532420440804E-7</c:v>
                </c:pt>
                <c:pt idx="4">
                  <c:v>5.9583947810183002E-7</c:v>
                </c:pt>
                <c:pt idx="5">
                  <c:v>7.9530948267147501E-7</c:v>
                </c:pt>
                <c:pt idx="6">
                  <c:v>1.0677426166167799E-6</c:v>
                </c:pt>
                <c:pt idx="7">
                  <c:v>1.1121231752371301E-6</c:v>
                </c:pt>
                <c:pt idx="8">
                  <c:v>1.15145541799718E-6</c:v>
                </c:pt>
                <c:pt idx="9">
                  <c:v>1.15773003686439E-6</c:v>
                </c:pt>
                <c:pt idx="10">
                  <c:v>1.16956949967203E-6</c:v>
                </c:pt>
                <c:pt idx="11">
                  <c:v>1.17339110852878E-6</c:v>
                </c:pt>
                <c:pt idx="12">
                  <c:v>1.1776858555046999E-6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C3-4E8D-927E-A49718F8213D}"/>
            </c:ext>
          </c:extLst>
        </c:ser>
        <c:ser>
          <c:idx val="2"/>
          <c:order val="2"/>
          <c:tx>
            <c:strRef>
              <c:f>'Eigenvalue Ratio'!$M$1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'Eigenvalue Ratio'!$Q$2:$Q$14</c:f>
              <c:strCache>
                <c:ptCount val="13"/>
                <c:pt idx="0">
                  <c:v>lambda p: 10.0</c:v>
                </c:pt>
                <c:pt idx="1">
                  <c:v>lambda p: 5.0</c:v>
                </c:pt>
                <c:pt idx="2">
                  <c:v>lambda p: 1.0</c:v>
                </c:pt>
                <c:pt idx="3">
                  <c:v>lambda p: 0.5</c:v>
                </c:pt>
                <c:pt idx="4">
                  <c:v>lambda p: 0.1</c:v>
                </c:pt>
                <c:pt idx="5">
                  <c:v>lambda p: 0.05</c:v>
                </c:pt>
                <c:pt idx="6">
                  <c:v>lambda p: 0.01</c:v>
                </c:pt>
                <c:pt idx="7">
                  <c:v>lambda p: 0.005</c:v>
                </c:pt>
                <c:pt idx="8">
                  <c:v>lambda p: 0.001</c:v>
                </c:pt>
                <c:pt idx="9">
                  <c:v>lambda p: 0.0005</c:v>
                </c:pt>
                <c:pt idx="10">
                  <c:v>lambda p: 0.0001</c:v>
                </c:pt>
                <c:pt idx="11">
                  <c:v>lambda p: 5e-05</c:v>
                </c:pt>
                <c:pt idx="12">
                  <c:v>lambda p: 1e-05</c:v>
                </c:pt>
              </c:strCache>
            </c:str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5.9908648224828304E-7</c:v>
                </c:pt>
                <c:pt idx="1">
                  <c:v>5.6461835581120001E-7</c:v>
                </c:pt>
                <c:pt idx="2">
                  <c:v>9.8121292636844695E-7</c:v>
                </c:pt>
                <c:pt idx="3">
                  <c:v>8.5846910193879399E-7</c:v>
                </c:pt>
                <c:pt idx="4">
                  <c:v>5.99101411178344E-7</c:v>
                </c:pt>
                <c:pt idx="5">
                  <c:v>7.8303649450597798E-7</c:v>
                </c:pt>
                <c:pt idx="6">
                  <c:v>1.0506537003472301E-6</c:v>
                </c:pt>
                <c:pt idx="7">
                  <c:v>1.09302428588996E-6</c:v>
                </c:pt>
                <c:pt idx="8">
                  <c:v>1.1302201072340401E-6</c:v>
                </c:pt>
                <c:pt idx="9">
                  <c:v>1.13675725741171E-6</c:v>
                </c:pt>
                <c:pt idx="10">
                  <c:v>1.14656451180711E-6</c:v>
                </c:pt>
                <c:pt idx="11">
                  <c:v>1.1489241768933099E-6</c:v>
                </c:pt>
                <c:pt idx="12">
                  <c:v>1.1514161854001001E-6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C3-4E8D-927E-A49718F8213D}"/>
            </c:ext>
          </c:extLst>
        </c:ser>
        <c:ser>
          <c:idx val="3"/>
          <c:order val="3"/>
          <c:tx>
            <c:strRef>
              <c:f>'Eigenvalue Ratio'!$N$1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'Eigenvalue Ratio'!$Q$2:$Q$14</c:f>
              <c:strCache>
                <c:ptCount val="13"/>
                <c:pt idx="0">
                  <c:v>lambda p: 10.0</c:v>
                </c:pt>
                <c:pt idx="1">
                  <c:v>lambda p: 5.0</c:v>
                </c:pt>
                <c:pt idx="2">
                  <c:v>lambda p: 1.0</c:v>
                </c:pt>
                <c:pt idx="3">
                  <c:v>lambda p: 0.5</c:v>
                </c:pt>
                <c:pt idx="4">
                  <c:v>lambda p: 0.1</c:v>
                </c:pt>
                <c:pt idx="5">
                  <c:v>lambda p: 0.05</c:v>
                </c:pt>
                <c:pt idx="6">
                  <c:v>lambda p: 0.01</c:v>
                </c:pt>
                <c:pt idx="7">
                  <c:v>lambda p: 0.005</c:v>
                </c:pt>
                <c:pt idx="8">
                  <c:v>lambda p: 0.001</c:v>
                </c:pt>
                <c:pt idx="9">
                  <c:v>lambda p: 0.0005</c:v>
                </c:pt>
                <c:pt idx="10">
                  <c:v>lambda p: 0.0001</c:v>
                </c:pt>
                <c:pt idx="11">
                  <c:v>lambda p: 5e-05</c:v>
                </c:pt>
                <c:pt idx="12">
                  <c:v>lambda p: 1e-05</c:v>
                </c:pt>
              </c:strCache>
            </c:str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9.1305169918188997E-5</c:v>
                </c:pt>
                <c:pt idx="1">
                  <c:v>7.9646460924551906E-5</c:v>
                </c:pt>
                <c:pt idx="2">
                  <c:v>5.0501200059246001E-5</c:v>
                </c:pt>
                <c:pt idx="3">
                  <c:v>6.2556255511656106E-5</c:v>
                </c:pt>
                <c:pt idx="4">
                  <c:v>9.1303955203335201E-5</c:v>
                </c:pt>
                <c:pt idx="5">
                  <c:v>9.9909136226113094E-5</c:v>
                </c:pt>
                <c:pt idx="6">
                  <c:v>1.0911349320304301E-4</c:v>
                </c:pt>
                <c:pt idx="7">
                  <c:v>1.10467634316683E-4</c:v>
                </c:pt>
                <c:pt idx="8">
                  <c:v>1.11588360561863E-4</c:v>
                </c:pt>
                <c:pt idx="9">
                  <c:v>1.11730880559578E-4</c:v>
                </c:pt>
                <c:pt idx="10">
                  <c:v>1.11845287912025E-4</c:v>
                </c:pt>
                <c:pt idx="11">
                  <c:v>1.11859603923144E-4</c:v>
                </c:pt>
                <c:pt idx="12">
                  <c:v>1.1187106573465E-4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C3-4E8D-927E-A49718F8213D}"/>
            </c:ext>
          </c:extLst>
        </c:ser>
        <c:ser>
          <c:idx val="4"/>
          <c:order val="4"/>
          <c:tx>
            <c:strRef>
              <c:f>'Eigenvalue Ratio'!$O$1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'Eigenvalue Ratio'!$Q$2:$Q$14</c:f>
              <c:strCache>
                <c:ptCount val="13"/>
                <c:pt idx="0">
                  <c:v>lambda p: 10.0</c:v>
                </c:pt>
                <c:pt idx="1">
                  <c:v>lambda p: 5.0</c:v>
                </c:pt>
                <c:pt idx="2">
                  <c:v>lambda p: 1.0</c:v>
                </c:pt>
                <c:pt idx="3">
                  <c:v>lambda p: 0.5</c:v>
                </c:pt>
                <c:pt idx="4">
                  <c:v>lambda p: 0.1</c:v>
                </c:pt>
                <c:pt idx="5">
                  <c:v>lambda p: 0.05</c:v>
                </c:pt>
                <c:pt idx="6">
                  <c:v>lambda p: 0.01</c:v>
                </c:pt>
                <c:pt idx="7">
                  <c:v>lambda p: 0.005</c:v>
                </c:pt>
                <c:pt idx="8">
                  <c:v>lambda p: 0.001</c:v>
                </c:pt>
                <c:pt idx="9">
                  <c:v>lambda p: 0.0005</c:v>
                </c:pt>
                <c:pt idx="10">
                  <c:v>lambda p: 0.0001</c:v>
                </c:pt>
                <c:pt idx="11">
                  <c:v>lambda p: 5e-05</c:v>
                </c:pt>
                <c:pt idx="12">
                  <c:v>lambda p: 1e-05</c:v>
                </c:pt>
              </c:strCache>
            </c:str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1.6313475702578299E-5</c:v>
                </c:pt>
                <c:pt idx="1">
                  <c:v>1.51186952024691E-5</c:v>
                </c:pt>
                <c:pt idx="2">
                  <c:v>1.4091826318878999E-5</c:v>
                </c:pt>
                <c:pt idx="3">
                  <c:v>1.42284801186602E-5</c:v>
                </c:pt>
                <c:pt idx="4">
                  <c:v>1.6312091799862399E-5</c:v>
                </c:pt>
                <c:pt idx="5">
                  <c:v>1.7481994601628E-5</c:v>
                </c:pt>
                <c:pt idx="6">
                  <c:v>1.8961401110997E-5</c:v>
                </c:pt>
                <c:pt idx="7">
                  <c:v>1.9195577638940202E-5</c:v>
                </c:pt>
                <c:pt idx="8">
                  <c:v>1.93925747618569E-5</c:v>
                </c:pt>
                <c:pt idx="9">
                  <c:v>1.9417829013564401E-5</c:v>
                </c:pt>
                <c:pt idx="10">
                  <c:v>1.9438134934549902E-5</c:v>
                </c:pt>
                <c:pt idx="11">
                  <c:v>1.9440677779024501E-5</c:v>
                </c:pt>
                <c:pt idx="12">
                  <c:v>1.9442711908406399E-5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C3-4E8D-927E-A49718F82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58477"/>
        <c:axId val="37107713"/>
      </c:scatterChart>
      <c:valAx>
        <c:axId val="6285847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107713"/>
        <c:crosses val="autoZero"/>
        <c:crossBetween val="midCat"/>
      </c:valAx>
      <c:valAx>
        <c:axId val="3710771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85847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Eigenvector Angle: Relative Errors &amp; Residuals vs angle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'Eigenvector Angle'!$K$1</c:f>
              <c:strCache>
                <c:ptCount val="1"/>
                <c:pt idx="0">
                  <c:v>sparse</c:v>
                </c:pt>
              </c:strCache>
            </c:strRef>
          </c:tx>
          <c:spPr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'Eigenvector Angle'!$Q$2:$Q$10</c:f>
              <c:strCache>
                <c:ptCount val="9"/>
                <c:pt idx="0">
                  <c:v>lambda p: 0.0/24.0*np.pi</c:v>
                </c:pt>
                <c:pt idx="1">
                  <c:v>lambda p: 4.0/24.0*np.pi</c:v>
                </c:pt>
                <c:pt idx="2">
                  <c:v>lambda p: 6.0/24.0*np.pi</c:v>
                </c:pt>
                <c:pt idx="3">
                  <c:v>lambda p: 8.0/24.0*np.pi</c:v>
                </c:pt>
                <c:pt idx="4">
                  <c:v>lambda p: 12.0/24.0*np.pi</c:v>
                </c:pt>
                <c:pt idx="5">
                  <c:v>lambda p: 16.0/24.0*np.pi</c:v>
                </c:pt>
                <c:pt idx="6">
                  <c:v>lambda p: 18.0/24.0*np.pi</c:v>
                </c:pt>
                <c:pt idx="7">
                  <c:v>lambda p: 20.0/24.0*np.pi</c:v>
                </c:pt>
                <c:pt idx="8">
                  <c:v>lambda p: 24.0/24.0*np.pi</c:v>
                </c:pt>
              </c:strCache>
            </c:str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5A-40C4-B964-8457E736D42D}"/>
            </c:ext>
          </c:extLst>
        </c:ser>
        <c:ser>
          <c:idx val="1"/>
          <c:order val="1"/>
          <c:tx>
            <c:strRef>
              <c:f>'Eigenvector Angle'!$L$1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'Eigenvector Angle'!$Q$2:$Q$10</c:f>
              <c:strCache>
                <c:ptCount val="9"/>
                <c:pt idx="0">
                  <c:v>lambda p: 0.0/24.0*np.pi</c:v>
                </c:pt>
                <c:pt idx="1">
                  <c:v>lambda p: 4.0/24.0*np.pi</c:v>
                </c:pt>
                <c:pt idx="2">
                  <c:v>lambda p: 6.0/24.0*np.pi</c:v>
                </c:pt>
                <c:pt idx="3">
                  <c:v>lambda p: 8.0/24.0*np.pi</c:v>
                </c:pt>
                <c:pt idx="4">
                  <c:v>lambda p: 12.0/24.0*np.pi</c:v>
                </c:pt>
                <c:pt idx="5">
                  <c:v>lambda p: 16.0/24.0*np.pi</c:v>
                </c:pt>
                <c:pt idx="6">
                  <c:v>lambda p: 18.0/24.0*np.pi</c:v>
                </c:pt>
                <c:pt idx="7">
                  <c:v>lambda p: 20.0/24.0*np.pi</c:v>
                </c:pt>
                <c:pt idx="8">
                  <c:v>lambda p: 24.0/24.0*np.pi</c:v>
                </c:pt>
              </c:strCache>
            </c:str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1.16958973790039E-6</c:v>
                </c:pt>
                <c:pt idx="1">
                  <c:v>6.4438281821817603E-4</c:v>
                </c:pt>
                <c:pt idx="2">
                  <c:v>3.57655531361413E-4</c:v>
                </c:pt>
                <c:pt idx="3">
                  <c:v>6.51102735212272E-4</c:v>
                </c:pt>
                <c:pt idx="4">
                  <c:v>1.16956949967203E-6</c:v>
                </c:pt>
                <c:pt idx="5">
                  <c:v>1.23151113265056E-3</c:v>
                </c:pt>
                <c:pt idx="6">
                  <c:v>1.5475007836957501E-3</c:v>
                </c:pt>
                <c:pt idx="7">
                  <c:v>1.2348979141192E-3</c:v>
                </c:pt>
                <c:pt idx="8">
                  <c:v>1.16958973790039E-6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5A-40C4-B964-8457E736D42D}"/>
            </c:ext>
          </c:extLst>
        </c:ser>
        <c:ser>
          <c:idx val="2"/>
          <c:order val="2"/>
          <c:tx>
            <c:strRef>
              <c:f>'Eigenvector Angle'!$M$1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'Eigenvector Angle'!$Q$2:$Q$10</c:f>
              <c:strCache>
                <c:ptCount val="9"/>
                <c:pt idx="0">
                  <c:v>lambda p: 0.0/24.0*np.pi</c:v>
                </c:pt>
                <c:pt idx="1">
                  <c:v>lambda p: 4.0/24.0*np.pi</c:v>
                </c:pt>
                <c:pt idx="2">
                  <c:v>lambda p: 6.0/24.0*np.pi</c:v>
                </c:pt>
                <c:pt idx="3">
                  <c:v>lambda p: 8.0/24.0*np.pi</c:v>
                </c:pt>
                <c:pt idx="4">
                  <c:v>lambda p: 12.0/24.0*np.pi</c:v>
                </c:pt>
                <c:pt idx="5">
                  <c:v>lambda p: 16.0/24.0*np.pi</c:v>
                </c:pt>
                <c:pt idx="6">
                  <c:v>lambda p: 18.0/24.0*np.pi</c:v>
                </c:pt>
                <c:pt idx="7">
                  <c:v>lambda p: 20.0/24.0*np.pi</c:v>
                </c:pt>
                <c:pt idx="8">
                  <c:v>lambda p: 24.0/24.0*np.pi</c:v>
                </c:pt>
              </c:strCache>
            </c:str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1.1480880725769099E-6</c:v>
                </c:pt>
                <c:pt idx="1">
                  <c:v>5.9807021600287804E-4</c:v>
                </c:pt>
                <c:pt idx="2">
                  <c:v>3.1977347458317699E-4</c:v>
                </c:pt>
                <c:pt idx="3">
                  <c:v>6.0203318495242802E-4</c:v>
                </c:pt>
                <c:pt idx="4">
                  <c:v>1.14656451180711E-6</c:v>
                </c:pt>
                <c:pt idx="5">
                  <c:v>1.22361003946656E-3</c:v>
                </c:pt>
                <c:pt idx="6">
                  <c:v>1.5667518211683799E-3</c:v>
                </c:pt>
                <c:pt idx="7">
                  <c:v>1.22230794401398E-3</c:v>
                </c:pt>
                <c:pt idx="8">
                  <c:v>1.148088072565E-6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5A-40C4-B964-8457E736D42D}"/>
            </c:ext>
          </c:extLst>
        </c:ser>
        <c:ser>
          <c:idx val="3"/>
          <c:order val="3"/>
          <c:tx>
            <c:strRef>
              <c:f>'Eigenvector Angle'!$N$1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'Eigenvector Angle'!$Q$2:$Q$10</c:f>
              <c:strCache>
                <c:ptCount val="9"/>
                <c:pt idx="0">
                  <c:v>lambda p: 0.0/24.0*np.pi</c:v>
                </c:pt>
                <c:pt idx="1">
                  <c:v>lambda p: 4.0/24.0*np.pi</c:v>
                </c:pt>
                <c:pt idx="2">
                  <c:v>lambda p: 6.0/24.0*np.pi</c:v>
                </c:pt>
                <c:pt idx="3">
                  <c:v>lambda p: 8.0/24.0*np.pi</c:v>
                </c:pt>
                <c:pt idx="4">
                  <c:v>lambda p: 12.0/24.0*np.pi</c:v>
                </c:pt>
                <c:pt idx="5">
                  <c:v>lambda p: 16.0/24.0*np.pi</c:v>
                </c:pt>
                <c:pt idx="6">
                  <c:v>lambda p: 18.0/24.0*np.pi</c:v>
                </c:pt>
                <c:pt idx="7">
                  <c:v>lambda p: 20.0/24.0*np.pi</c:v>
                </c:pt>
                <c:pt idx="8">
                  <c:v>lambda p: 24.0/24.0*np.pi</c:v>
                </c:pt>
              </c:strCache>
            </c:str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1.11845288367138E-4</c:v>
                </c:pt>
                <c:pt idx="1">
                  <c:v>9.6641390814063903E-4</c:v>
                </c:pt>
                <c:pt idx="2">
                  <c:v>9.7466854363965395E-4</c:v>
                </c:pt>
                <c:pt idx="3">
                  <c:v>9.6697660802926196E-4</c:v>
                </c:pt>
                <c:pt idx="4">
                  <c:v>1.11845287912025E-4</c:v>
                </c:pt>
                <c:pt idx="5">
                  <c:v>1.2187829746522401E-3</c:v>
                </c:pt>
                <c:pt idx="6">
                  <c:v>1.1638207413800299E-3</c:v>
                </c:pt>
                <c:pt idx="7">
                  <c:v>1.2187917951485001E-3</c:v>
                </c:pt>
                <c:pt idx="8">
                  <c:v>1.11845288367165E-4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5A-40C4-B964-8457E736D42D}"/>
            </c:ext>
          </c:extLst>
        </c:ser>
        <c:ser>
          <c:idx val="4"/>
          <c:order val="4"/>
          <c:tx>
            <c:strRef>
              <c:f>'Eigenvector Angle'!$O$1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'Eigenvector Angle'!$Q$2:$Q$10</c:f>
              <c:strCache>
                <c:ptCount val="9"/>
                <c:pt idx="0">
                  <c:v>lambda p: 0.0/24.0*np.pi</c:v>
                </c:pt>
                <c:pt idx="1">
                  <c:v>lambda p: 4.0/24.0*np.pi</c:v>
                </c:pt>
                <c:pt idx="2">
                  <c:v>lambda p: 6.0/24.0*np.pi</c:v>
                </c:pt>
                <c:pt idx="3">
                  <c:v>lambda p: 8.0/24.0*np.pi</c:v>
                </c:pt>
                <c:pt idx="4">
                  <c:v>lambda p: 12.0/24.0*np.pi</c:v>
                </c:pt>
                <c:pt idx="5">
                  <c:v>lambda p: 16.0/24.0*np.pi</c:v>
                </c:pt>
                <c:pt idx="6">
                  <c:v>lambda p: 18.0/24.0*np.pi</c:v>
                </c:pt>
                <c:pt idx="7">
                  <c:v>lambda p: 20.0/24.0*np.pi</c:v>
                </c:pt>
                <c:pt idx="8">
                  <c:v>lambda p: 24.0/24.0*np.pi</c:v>
                </c:pt>
              </c:strCache>
            </c:str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1.9442332789193702E-5</c:v>
                </c:pt>
                <c:pt idx="1">
                  <c:v>6.2641954919942402E-4</c:v>
                </c:pt>
                <c:pt idx="2">
                  <c:v>6.2598191707310296E-4</c:v>
                </c:pt>
                <c:pt idx="3">
                  <c:v>6.2813456502281795E-4</c:v>
                </c:pt>
                <c:pt idx="4">
                  <c:v>1.9438134934549902E-5</c:v>
                </c:pt>
                <c:pt idx="5">
                  <c:v>8.9556775656227203E-4</c:v>
                </c:pt>
                <c:pt idx="6">
                  <c:v>9.0849255397988096E-4</c:v>
                </c:pt>
                <c:pt idx="7">
                  <c:v>8.9326667512839805E-4</c:v>
                </c:pt>
                <c:pt idx="8">
                  <c:v>1.9442332789193E-5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5A-40C4-B964-8457E736D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9493"/>
        <c:axId val="27516397"/>
      </c:scatterChart>
      <c:valAx>
        <c:axId val="1679949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angle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516397"/>
        <c:crosses val="autoZero"/>
        <c:crossBetween val="midCat"/>
      </c:valAx>
      <c:valAx>
        <c:axId val="2751639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79949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topLeftCell="G1" zoomScaleNormal="100" workbookViewId="0"/>
  </sheetViews>
  <sheetFormatPr defaultColWidth="8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20</v>
      </c>
      <c r="B2">
        <v>20</v>
      </c>
      <c r="C2">
        <v>4</v>
      </c>
      <c r="D2" t="b">
        <f>TRUE()</f>
        <v>1</v>
      </c>
      <c r="E2">
        <v>14</v>
      </c>
      <c r="G2" t="s">
        <v>17</v>
      </c>
      <c r="H2" t="s">
        <v>18</v>
      </c>
      <c r="I2" t="s">
        <v>19</v>
      </c>
      <c r="J2" t="b">
        <f>FALSE()</f>
        <v>0</v>
      </c>
      <c r="K2" t="b">
        <f>TRUE()</f>
        <v>1</v>
      </c>
      <c r="L2">
        <v>6.9716110598926301E-4</v>
      </c>
      <c r="M2">
        <v>7.7065551881398502E-4</v>
      </c>
      <c r="N2">
        <v>1.2055269270226999E-2</v>
      </c>
      <c r="O2">
        <v>4.6003022903833004E-3</v>
      </c>
      <c r="P2" t="s">
        <v>20</v>
      </c>
      <c r="Q2">
        <v>20</v>
      </c>
    </row>
    <row r="3" spans="1:17" x14ac:dyDescent="0.3">
      <c r="A3">
        <v>30</v>
      </c>
      <c r="B3">
        <v>30</v>
      </c>
      <c r="C3">
        <v>4</v>
      </c>
      <c r="D3" t="b">
        <f>TRUE()</f>
        <v>1</v>
      </c>
      <c r="E3">
        <v>14</v>
      </c>
      <c r="G3" t="s">
        <v>17</v>
      </c>
      <c r="H3" t="s">
        <v>18</v>
      </c>
      <c r="I3" t="s">
        <v>19</v>
      </c>
      <c r="J3" t="b">
        <f>FALSE()</f>
        <v>0</v>
      </c>
      <c r="K3" t="b">
        <f>TRUE()</f>
        <v>1</v>
      </c>
      <c r="L3">
        <v>1.3970620866327101E-4</v>
      </c>
      <c r="M3">
        <v>1.4829590135960301E-4</v>
      </c>
      <c r="N3">
        <v>3.8191596213491301E-3</v>
      </c>
      <c r="O3">
        <v>1.19945212561999E-3</v>
      </c>
      <c r="P3" t="s">
        <v>20</v>
      </c>
      <c r="Q3">
        <v>30</v>
      </c>
    </row>
    <row r="4" spans="1:17" x14ac:dyDescent="0.3">
      <c r="A4">
        <v>50</v>
      </c>
      <c r="B4">
        <v>50</v>
      </c>
      <c r="C4">
        <v>4</v>
      </c>
      <c r="D4" t="b">
        <f>TRUE()</f>
        <v>1</v>
      </c>
      <c r="E4">
        <v>14</v>
      </c>
      <c r="G4" t="s">
        <v>17</v>
      </c>
      <c r="H4" t="s">
        <v>18</v>
      </c>
      <c r="I4" t="s">
        <v>19</v>
      </c>
      <c r="J4" t="b">
        <f>FALSE()</f>
        <v>0</v>
      </c>
      <c r="K4" t="b">
        <f>TRUE()</f>
        <v>1</v>
      </c>
      <c r="L4">
        <v>1.78336923525154E-5</v>
      </c>
      <c r="M4">
        <v>1.8236025909479999E-5</v>
      </c>
      <c r="N4">
        <v>8.6499951171573996E-4</v>
      </c>
      <c r="O4">
        <v>2.1184128564217001E-4</v>
      </c>
      <c r="P4" t="s">
        <v>20</v>
      </c>
      <c r="Q4">
        <v>50</v>
      </c>
    </row>
    <row r="5" spans="1:17" x14ac:dyDescent="0.3">
      <c r="A5">
        <v>75</v>
      </c>
      <c r="B5">
        <v>75</v>
      </c>
      <c r="C5">
        <v>4</v>
      </c>
      <c r="D5" t="b">
        <f>TRUE()</f>
        <v>1</v>
      </c>
      <c r="E5">
        <v>14</v>
      </c>
      <c r="G5" t="s">
        <v>17</v>
      </c>
      <c r="H5" t="s">
        <v>18</v>
      </c>
      <c r="I5" t="s">
        <v>19</v>
      </c>
      <c r="J5" t="b">
        <f>FALSE()</f>
        <v>0</v>
      </c>
      <c r="K5" t="b">
        <f>TRUE()</f>
        <v>1</v>
      </c>
      <c r="L5">
        <v>3.4766942360225501E-6</v>
      </c>
      <c r="M5">
        <v>3.4781388291098199E-6</v>
      </c>
      <c r="N5">
        <v>2.6206790732555198E-4</v>
      </c>
      <c r="O5">
        <v>5.2553482998408402E-5</v>
      </c>
      <c r="P5" t="s">
        <v>20</v>
      </c>
      <c r="Q5">
        <v>75</v>
      </c>
    </row>
    <row r="6" spans="1:17" x14ac:dyDescent="0.3">
      <c r="A6">
        <v>100</v>
      </c>
      <c r="B6">
        <v>100</v>
      </c>
      <c r="C6">
        <v>4</v>
      </c>
      <c r="D6" t="b">
        <f>TRUE()</f>
        <v>1</v>
      </c>
      <c r="E6">
        <v>14</v>
      </c>
      <c r="G6" t="s">
        <v>17</v>
      </c>
      <c r="H6" t="s">
        <v>18</v>
      </c>
      <c r="I6" t="s">
        <v>19</v>
      </c>
      <c r="J6" t="b">
        <f>FALSE()</f>
        <v>0</v>
      </c>
      <c r="K6" t="b">
        <f>TRUE()</f>
        <v>1</v>
      </c>
      <c r="L6">
        <v>1.16956949967203E-6</v>
      </c>
      <c r="M6">
        <v>1.14656451180711E-6</v>
      </c>
      <c r="N6">
        <v>1.11845287912025E-4</v>
      </c>
      <c r="O6">
        <v>1.9438134934549902E-5</v>
      </c>
      <c r="P6" t="s">
        <v>20</v>
      </c>
      <c r="Q6">
        <v>100</v>
      </c>
    </row>
    <row r="7" spans="1:17" x14ac:dyDescent="0.3">
      <c r="A7">
        <v>125</v>
      </c>
      <c r="B7">
        <v>125</v>
      </c>
      <c r="C7">
        <v>4</v>
      </c>
      <c r="D7" t="b">
        <f>TRUE()</f>
        <v>1</v>
      </c>
      <c r="E7">
        <v>14</v>
      </c>
      <c r="G7" t="s">
        <v>17</v>
      </c>
      <c r="H7" t="s">
        <v>18</v>
      </c>
      <c r="I7" t="s">
        <v>19</v>
      </c>
      <c r="J7" t="b">
        <f>FALSE()</f>
        <v>0</v>
      </c>
      <c r="K7" t="b">
        <f>TRUE()</f>
        <v>1</v>
      </c>
      <c r="L7">
        <v>2.4806419065635299E-6</v>
      </c>
      <c r="M7">
        <v>8.0503695848584099E-7</v>
      </c>
      <c r="N7">
        <v>5.8095386101962602E-5</v>
      </c>
      <c r="O7">
        <v>8.9922083564946701E-6</v>
      </c>
      <c r="P7" t="s">
        <v>20</v>
      </c>
      <c r="Q7">
        <v>125</v>
      </c>
    </row>
    <row r="8" spans="1:17" x14ac:dyDescent="0.3">
      <c r="A8">
        <v>150</v>
      </c>
      <c r="B8">
        <v>150</v>
      </c>
      <c r="C8">
        <v>4</v>
      </c>
      <c r="D8" t="b">
        <f>TRUE()</f>
        <v>1</v>
      </c>
      <c r="E8">
        <v>14</v>
      </c>
      <c r="G8" t="s">
        <v>17</v>
      </c>
      <c r="H8" t="s">
        <v>18</v>
      </c>
      <c r="I8" t="s">
        <v>19</v>
      </c>
      <c r="J8" t="b">
        <f>FALSE()</f>
        <v>0</v>
      </c>
      <c r="K8" t="b">
        <f>TRUE()</f>
        <v>1</v>
      </c>
      <c r="L8">
        <v>1.7105754138904801E-6</v>
      </c>
      <c r="M8">
        <v>7.9414179849316699E-7</v>
      </c>
      <c r="N8">
        <v>8.5134456682793699E-4</v>
      </c>
      <c r="O8">
        <v>1.3229760139571499E-5</v>
      </c>
      <c r="P8" t="s">
        <v>20</v>
      </c>
      <c r="Q8">
        <v>150</v>
      </c>
    </row>
    <row r="9" spans="1:17" x14ac:dyDescent="0.3">
      <c r="A9">
        <v>175</v>
      </c>
      <c r="B9">
        <v>175</v>
      </c>
      <c r="C9">
        <v>4</v>
      </c>
      <c r="D9" t="b">
        <f>TRUE()</f>
        <v>1</v>
      </c>
      <c r="E9">
        <v>14</v>
      </c>
      <c r="G9" t="s">
        <v>17</v>
      </c>
      <c r="H9" t="s">
        <v>18</v>
      </c>
      <c r="I9" t="s">
        <v>19</v>
      </c>
      <c r="J9" t="b">
        <f>FALSE()</f>
        <v>0</v>
      </c>
      <c r="K9" t="b">
        <f>TRUE()</f>
        <v>1</v>
      </c>
      <c r="L9">
        <v>8.2665615504357496E-6</v>
      </c>
      <c r="M9">
        <v>4.18858591093367E-6</v>
      </c>
      <c r="N9">
        <v>3.0720732557846801E-3</v>
      </c>
      <c r="O9">
        <v>4.1951734608218601E-5</v>
      </c>
      <c r="P9" t="s">
        <v>20</v>
      </c>
      <c r="Q9">
        <v>175</v>
      </c>
    </row>
    <row r="10" spans="1:17" x14ac:dyDescent="0.3">
      <c r="A10">
        <v>200</v>
      </c>
      <c r="B10">
        <v>200</v>
      </c>
      <c r="C10">
        <v>4</v>
      </c>
      <c r="D10" t="b">
        <f>TRUE()</f>
        <v>1</v>
      </c>
      <c r="E10">
        <v>14</v>
      </c>
      <c r="G10" t="s">
        <v>17</v>
      </c>
      <c r="H10" t="s">
        <v>18</v>
      </c>
      <c r="I10" t="s">
        <v>19</v>
      </c>
      <c r="J10" t="b">
        <f>FALSE()</f>
        <v>0</v>
      </c>
      <c r="K10" t="b">
        <f>TRUE()</f>
        <v>1</v>
      </c>
      <c r="L10">
        <v>5.24975204230471E-5</v>
      </c>
      <c r="M10">
        <v>1.25936802570738E-5</v>
      </c>
      <c r="N10">
        <v>8.2559125708855105E-4</v>
      </c>
      <c r="O10">
        <v>2.2967467536098201E-5</v>
      </c>
      <c r="P10" t="s">
        <v>20</v>
      </c>
      <c r="Q10">
        <v>200</v>
      </c>
    </row>
    <row r="11" spans="1:17" x14ac:dyDescent="0.3">
      <c r="A11">
        <v>250</v>
      </c>
      <c r="B11">
        <v>250</v>
      </c>
      <c r="C11">
        <v>4</v>
      </c>
      <c r="D11" t="b">
        <f>TRUE()</f>
        <v>1</v>
      </c>
      <c r="E11">
        <v>14</v>
      </c>
      <c r="G11" t="s">
        <v>17</v>
      </c>
      <c r="H11" t="s">
        <v>18</v>
      </c>
      <c r="I11" t="s">
        <v>19</v>
      </c>
      <c r="J11" t="b">
        <f>FALSE()</f>
        <v>0</v>
      </c>
      <c r="K11" t="b">
        <f>TRUE()</f>
        <v>1</v>
      </c>
      <c r="L11">
        <v>3.8611787513147901E-4</v>
      </c>
      <c r="M11">
        <v>2.3027318015943999E-4</v>
      </c>
      <c r="N11">
        <v>1.4894561200592499E-4</v>
      </c>
      <c r="O11">
        <v>5.18154957780047E-5</v>
      </c>
      <c r="P11" t="s">
        <v>20</v>
      </c>
      <c r="Q11">
        <v>250</v>
      </c>
    </row>
    <row r="12" spans="1:17" x14ac:dyDescent="0.3">
      <c r="A12">
        <v>300</v>
      </c>
      <c r="B12">
        <v>300</v>
      </c>
      <c r="C12">
        <v>4</v>
      </c>
      <c r="D12" t="b">
        <f>TRUE()</f>
        <v>1</v>
      </c>
      <c r="E12">
        <v>14</v>
      </c>
      <c r="G12" t="s">
        <v>17</v>
      </c>
      <c r="H12" t="s">
        <v>18</v>
      </c>
      <c r="I12" t="s">
        <v>19</v>
      </c>
      <c r="J12" t="b">
        <f>FALSE()</f>
        <v>0</v>
      </c>
      <c r="K12" t="b">
        <f>TRUE()</f>
        <v>1</v>
      </c>
      <c r="L12">
        <v>6.2919856164697305E-4</v>
      </c>
      <c r="M12">
        <v>2.09300815578399E-4</v>
      </c>
      <c r="N12">
        <v>2.08511862901756E-4</v>
      </c>
      <c r="O12">
        <v>3.64573042060315E-5</v>
      </c>
      <c r="P12" t="s">
        <v>20</v>
      </c>
      <c r="Q12">
        <v>300</v>
      </c>
    </row>
    <row r="13" spans="1:17" x14ac:dyDescent="0.3">
      <c r="A13">
        <v>500</v>
      </c>
      <c r="B13">
        <v>500</v>
      </c>
      <c r="C13">
        <v>4</v>
      </c>
      <c r="D13" t="b">
        <f>TRUE()</f>
        <v>1</v>
      </c>
      <c r="E13">
        <v>14</v>
      </c>
      <c r="G13" t="s">
        <v>17</v>
      </c>
      <c r="H13" t="s">
        <v>18</v>
      </c>
      <c r="I13" t="s">
        <v>19</v>
      </c>
      <c r="J13" t="b">
        <f>FALSE()</f>
        <v>0</v>
      </c>
      <c r="K13" t="b">
        <f>TRUE()</f>
        <v>1</v>
      </c>
      <c r="L13">
        <v>0.221953679206362</v>
      </c>
      <c r="M13">
        <v>9.7925449916588095E-2</v>
      </c>
      <c r="N13">
        <v>0.42380778565754401</v>
      </c>
      <c r="O13">
        <v>9.8475894887951696E-3</v>
      </c>
      <c r="P13" t="s">
        <v>20</v>
      </c>
      <c r="Q13">
        <v>500</v>
      </c>
    </row>
    <row r="14" spans="1:17" x14ac:dyDescent="0.3">
      <c r="A14">
        <v>750</v>
      </c>
      <c r="B14">
        <v>750</v>
      </c>
      <c r="C14">
        <v>4</v>
      </c>
      <c r="D14" t="b">
        <f>TRUE()</f>
        <v>1</v>
      </c>
      <c r="E14">
        <v>14</v>
      </c>
      <c r="G14" t="s">
        <v>17</v>
      </c>
      <c r="H14" t="s">
        <v>18</v>
      </c>
      <c r="I14" t="s">
        <v>19</v>
      </c>
      <c r="J14" t="b">
        <f>FALSE()</f>
        <v>0</v>
      </c>
      <c r="K14" t="b">
        <f>TRUE()</f>
        <v>1</v>
      </c>
      <c r="L14">
        <v>1.6938451345197599E-3</v>
      </c>
      <c r="M14">
        <v>7.6128965235649495E-4</v>
      </c>
      <c r="N14">
        <v>1.69860605379086</v>
      </c>
      <c r="O14">
        <v>8.6663422022718699E-3</v>
      </c>
      <c r="P14" t="s">
        <v>20</v>
      </c>
      <c r="Q14">
        <v>750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"/>
  <sheetViews>
    <sheetView topLeftCell="H1" zoomScaleNormal="100" workbookViewId="0"/>
  </sheetViews>
  <sheetFormatPr defaultColWidth="8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1E-3</v>
      </c>
      <c r="D2" t="b">
        <f>TRUE()</f>
        <v>1</v>
      </c>
      <c r="E2">
        <v>14</v>
      </c>
      <c r="G2" t="s">
        <v>17</v>
      </c>
      <c r="H2" t="s">
        <v>18</v>
      </c>
      <c r="I2" t="s">
        <v>19</v>
      </c>
      <c r="J2" t="b">
        <f>FALSE()</f>
        <v>0</v>
      </c>
      <c r="K2" t="b">
        <f>TRUE()</f>
        <v>1</v>
      </c>
      <c r="L2">
        <v>302.121689072008</v>
      </c>
      <c r="M2">
        <v>164.95388239643799</v>
      </c>
      <c r="N2">
        <v>8.5911596514598898</v>
      </c>
      <c r="O2">
        <v>1.01093394554938</v>
      </c>
      <c r="P2" t="s">
        <v>21</v>
      </c>
      <c r="Q2">
        <v>1E-3</v>
      </c>
    </row>
    <row r="3" spans="1:17" x14ac:dyDescent="0.3">
      <c r="A3">
        <v>100</v>
      </c>
      <c r="B3">
        <v>100</v>
      </c>
      <c r="C3">
        <v>5.0000000000000001E-3</v>
      </c>
      <c r="D3" t="b">
        <f>TRUE()</f>
        <v>1</v>
      </c>
      <c r="E3">
        <v>14</v>
      </c>
      <c r="G3" t="s">
        <v>17</v>
      </c>
      <c r="H3" t="s">
        <v>18</v>
      </c>
      <c r="I3" t="s">
        <v>19</v>
      </c>
      <c r="J3" t="b">
        <f>FALSE()</f>
        <v>0</v>
      </c>
      <c r="K3" t="b">
        <f>TRUE()</f>
        <v>1</v>
      </c>
      <c r="L3">
        <v>2.0193832858638601</v>
      </c>
      <c r="M3">
        <v>1.5163930304203801</v>
      </c>
      <c r="N3">
        <v>33151610949.451599</v>
      </c>
      <c r="O3">
        <v>980404677.96054196</v>
      </c>
      <c r="P3" t="s">
        <v>21</v>
      </c>
      <c r="Q3">
        <v>5.0000000000000001E-3</v>
      </c>
    </row>
    <row r="4" spans="1:17" x14ac:dyDescent="0.3">
      <c r="A4">
        <v>100</v>
      </c>
      <c r="B4">
        <v>100</v>
      </c>
      <c r="C4">
        <v>0.01</v>
      </c>
      <c r="D4" t="b">
        <f>TRUE()</f>
        <v>1</v>
      </c>
      <c r="E4">
        <v>14</v>
      </c>
      <c r="G4" t="s">
        <v>17</v>
      </c>
      <c r="H4" t="s">
        <v>18</v>
      </c>
      <c r="I4" t="s">
        <v>19</v>
      </c>
      <c r="J4" t="b">
        <f>FALSE()</f>
        <v>0</v>
      </c>
      <c r="K4" t="b">
        <f>TRUE()</f>
        <v>1</v>
      </c>
      <c r="L4">
        <v>0.86260583162546201</v>
      </c>
      <c r="M4">
        <v>0.64982933193970205</v>
      </c>
      <c r="N4">
        <v>37.644689101234498</v>
      </c>
      <c r="O4">
        <v>1.0483114694750399</v>
      </c>
      <c r="P4" t="s">
        <v>21</v>
      </c>
      <c r="Q4">
        <v>0.01</v>
      </c>
    </row>
    <row r="5" spans="1:17" x14ac:dyDescent="0.3">
      <c r="A5">
        <v>100</v>
      </c>
      <c r="B5">
        <v>100</v>
      </c>
      <c r="C5">
        <v>0.05</v>
      </c>
      <c r="D5" t="b">
        <f>TRUE()</f>
        <v>1</v>
      </c>
      <c r="E5">
        <v>14</v>
      </c>
      <c r="G5" t="s">
        <v>17</v>
      </c>
      <c r="H5" t="s">
        <v>18</v>
      </c>
      <c r="I5" t="s">
        <v>19</v>
      </c>
      <c r="J5" t="b">
        <f>FALSE()</f>
        <v>0</v>
      </c>
      <c r="K5" t="b">
        <f>TRUE()</f>
        <v>1</v>
      </c>
      <c r="L5">
        <v>0.558279529329613</v>
      </c>
      <c r="M5">
        <v>0.354987484294567</v>
      </c>
      <c r="N5">
        <v>251.191419007696</v>
      </c>
      <c r="O5">
        <v>8.3281398225246193</v>
      </c>
      <c r="P5" t="s">
        <v>21</v>
      </c>
      <c r="Q5">
        <v>0.05</v>
      </c>
    </row>
    <row r="6" spans="1:17" x14ac:dyDescent="0.3">
      <c r="A6">
        <v>100</v>
      </c>
      <c r="B6">
        <v>100</v>
      </c>
      <c r="C6">
        <v>0.1</v>
      </c>
      <c r="D6" t="b">
        <f>TRUE()</f>
        <v>1</v>
      </c>
      <c r="E6">
        <v>14</v>
      </c>
      <c r="G6" t="s">
        <v>17</v>
      </c>
      <c r="H6" t="s">
        <v>18</v>
      </c>
      <c r="I6" t="s">
        <v>19</v>
      </c>
      <c r="J6" t="b">
        <f>FALSE()</f>
        <v>0</v>
      </c>
      <c r="K6" t="b">
        <f>TRUE()</f>
        <v>1</v>
      </c>
      <c r="L6">
        <v>6.5290576691305402</v>
      </c>
      <c r="M6">
        <v>3.8544957886029199</v>
      </c>
      <c r="N6">
        <v>1.4943226122853901</v>
      </c>
      <c r="O6">
        <v>0.115976796701396</v>
      </c>
      <c r="P6" t="s">
        <v>21</v>
      </c>
      <c r="Q6">
        <v>0.1</v>
      </c>
    </row>
    <row r="7" spans="1:17" x14ac:dyDescent="0.3">
      <c r="A7">
        <v>100</v>
      </c>
      <c r="B7">
        <v>100</v>
      </c>
      <c r="C7">
        <v>0.5</v>
      </c>
      <c r="D7" t="b">
        <f>TRUE()</f>
        <v>1</v>
      </c>
      <c r="E7">
        <v>14</v>
      </c>
      <c r="G7" t="s">
        <v>17</v>
      </c>
      <c r="H7" t="s">
        <v>18</v>
      </c>
      <c r="I7" t="s">
        <v>19</v>
      </c>
      <c r="J7" t="b">
        <f>FALSE()</f>
        <v>0</v>
      </c>
      <c r="K7" t="b">
        <f>TRUE()</f>
        <v>1</v>
      </c>
      <c r="L7">
        <v>7.9946644018700497E-3</v>
      </c>
      <c r="M7">
        <v>5.0082430094966603E-3</v>
      </c>
      <c r="N7">
        <v>8.9527232003821808</v>
      </c>
      <c r="O7">
        <v>0.19369157658321901</v>
      </c>
      <c r="P7" t="s">
        <v>21</v>
      </c>
      <c r="Q7">
        <v>0.5</v>
      </c>
    </row>
    <row r="8" spans="1:17" x14ac:dyDescent="0.3">
      <c r="A8">
        <v>100</v>
      </c>
      <c r="B8">
        <v>100</v>
      </c>
      <c r="C8">
        <v>1</v>
      </c>
      <c r="D8" t="b">
        <f>TRUE()</f>
        <v>1</v>
      </c>
      <c r="E8">
        <v>14</v>
      </c>
      <c r="G8" t="s">
        <v>17</v>
      </c>
      <c r="H8" t="s">
        <v>18</v>
      </c>
      <c r="I8" t="s">
        <v>19</v>
      </c>
      <c r="J8" t="b">
        <f>FALSE()</f>
        <v>0</v>
      </c>
      <c r="K8" t="b">
        <f>TRUE()</f>
        <v>1</v>
      </c>
      <c r="L8">
        <v>1.9416854791362102E-2</v>
      </c>
      <c r="M8">
        <v>7.8223648276415196E-3</v>
      </c>
      <c r="N8">
        <v>6.6730704073151903E-2</v>
      </c>
      <c r="O8">
        <v>1.54169058069984E-2</v>
      </c>
      <c r="P8" t="s">
        <v>21</v>
      </c>
      <c r="Q8">
        <v>1</v>
      </c>
    </row>
    <row r="9" spans="1:17" x14ac:dyDescent="0.3">
      <c r="A9">
        <v>100</v>
      </c>
      <c r="B9">
        <v>100</v>
      </c>
      <c r="C9">
        <v>1.5</v>
      </c>
      <c r="D9" t="b">
        <f>TRUE()</f>
        <v>1</v>
      </c>
      <c r="E9">
        <v>14</v>
      </c>
      <c r="G9" t="s">
        <v>17</v>
      </c>
      <c r="H9" t="s">
        <v>18</v>
      </c>
      <c r="I9" t="s">
        <v>19</v>
      </c>
      <c r="J9" t="b">
        <f>FALSE()</f>
        <v>0</v>
      </c>
      <c r="K9" t="b">
        <f>TRUE()</f>
        <v>1</v>
      </c>
      <c r="L9">
        <v>2.3098989543877699E-4</v>
      </c>
      <c r="M9">
        <v>2.3511350696356199E-4</v>
      </c>
      <c r="N9">
        <v>2.8698245084866301E-4</v>
      </c>
      <c r="O9">
        <v>2.2592060044785599E-4</v>
      </c>
      <c r="P9" t="s">
        <v>21</v>
      </c>
      <c r="Q9">
        <v>1.5</v>
      </c>
    </row>
    <row r="10" spans="1:17" x14ac:dyDescent="0.3">
      <c r="A10">
        <v>100</v>
      </c>
      <c r="B10">
        <v>100</v>
      </c>
      <c r="C10">
        <v>2</v>
      </c>
      <c r="D10" t="b">
        <f>TRUE()</f>
        <v>1</v>
      </c>
      <c r="E10">
        <v>14</v>
      </c>
      <c r="G10" t="s">
        <v>17</v>
      </c>
      <c r="H10" t="s">
        <v>18</v>
      </c>
      <c r="I10" t="s">
        <v>19</v>
      </c>
      <c r="J10" t="b">
        <f>FALSE()</f>
        <v>0</v>
      </c>
      <c r="K10" t="b">
        <f>TRUE()</f>
        <v>1</v>
      </c>
      <c r="L10">
        <v>5.8265465250356197E-4</v>
      </c>
      <c r="M10">
        <v>5.5329271351145395E-4</v>
      </c>
      <c r="N10">
        <v>1.5470182445799201E-4</v>
      </c>
      <c r="O10">
        <v>1.08034540313062E-5</v>
      </c>
      <c r="P10" t="s">
        <v>21</v>
      </c>
      <c r="Q10">
        <v>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"/>
  <sheetViews>
    <sheetView topLeftCell="I1" zoomScaleNormal="100" workbookViewId="0"/>
  </sheetViews>
  <sheetFormatPr defaultColWidth="8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4</v>
      </c>
      <c r="D2" t="b">
        <f>TRUE()</f>
        <v>1</v>
      </c>
      <c r="E2">
        <v>5</v>
      </c>
      <c r="G2" t="s">
        <v>17</v>
      </c>
      <c r="H2" t="s">
        <v>18</v>
      </c>
      <c r="I2" t="s">
        <v>19</v>
      </c>
      <c r="J2" t="b">
        <f>FALSE()</f>
        <v>0</v>
      </c>
      <c r="K2" t="b">
        <f>TRUE()</f>
        <v>1</v>
      </c>
      <c r="L2">
        <v>1.0171480674818201E-3</v>
      </c>
      <c r="M2">
        <v>1.0328741563940601E-3</v>
      </c>
      <c r="N2">
        <v>8.4659285766445602E-4</v>
      </c>
      <c r="O2">
        <v>8.6042938964118196E-4</v>
      </c>
      <c r="P2" t="s">
        <v>4</v>
      </c>
      <c r="Q2">
        <v>5</v>
      </c>
    </row>
    <row r="3" spans="1:17" x14ac:dyDescent="0.3">
      <c r="A3">
        <v>100</v>
      </c>
      <c r="B3">
        <v>100</v>
      </c>
      <c r="C3">
        <v>4</v>
      </c>
      <c r="D3" t="b">
        <f>TRUE()</f>
        <v>1</v>
      </c>
      <c r="E3">
        <v>7</v>
      </c>
      <c r="G3" t="s">
        <v>17</v>
      </c>
      <c r="H3" t="s">
        <v>18</v>
      </c>
      <c r="I3" t="s">
        <v>19</v>
      </c>
      <c r="J3" t="b">
        <f>FALSE()</f>
        <v>0</v>
      </c>
      <c r="K3" t="b">
        <f>TRUE()</f>
        <v>1</v>
      </c>
      <c r="L3">
        <v>1.0171482252177E-3</v>
      </c>
      <c r="M3">
        <v>1.0328742076978199E-3</v>
      </c>
      <c r="N3">
        <v>8.4659325907853096E-4</v>
      </c>
      <c r="O3">
        <v>8.6042940514550602E-4</v>
      </c>
      <c r="P3" t="s">
        <v>4</v>
      </c>
      <c r="Q3">
        <v>7</v>
      </c>
    </row>
    <row r="4" spans="1:17" x14ac:dyDescent="0.3">
      <c r="A4">
        <v>100</v>
      </c>
      <c r="B4">
        <v>100</v>
      </c>
      <c r="C4">
        <v>4</v>
      </c>
      <c r="D4" t="b">
        <f>TRUE()</f>
        <v>1</v>
      </c>
      <c r="E4">
        <v>10</v>
      </c>
      <c r="G4" t="s">
        <v>17</v>
      </c>
      <c r="H4" t="s">
        <v>18</v>
      </c>
      <c r="I4" t="s">
        <v>19</v>
      </c>
      <c r="J4" t="b">
        <f>FALSE()</f>
        <v>0</v>
      </c>
      <c r="K4" t="b">
        <f>TRUE()</f>
        <v>1</v>
      </c>
      <c r="L4">
        <v>1.01624514329868E-3</v>
      </c>
      <c r="M4">
        <v>1.03091673902683E-3</v>
      </c>
      <c r="N4">
        <v>9.00311662427818E-4</v>
      </c>
      <c r="O4">
        <v>8.62681604318589E-4</v>
      </c>
      <c r="P4" t="s">
        <v>4</v>
      </c>
      <c r="Q4">
        <v>10</v>
      </c>
    </row>
    <row r="5" spans="1:17" x14ac:dyDescent="0.3">
      <c r="A5">
        <v>100</v>
      </c>
      <c r="B5">
        <v>100</v>
      </c>
      <c r="C5">
        <v>4</v>
      </c>
      <c r="D5" t="b">
        <f>TRUE()</f>
        <v>1</v>
      </c>
      <c r="E5">
        <v>15</v>
      </c>
      <c r="G5" t="s">
        <v>17</v>
      </c>
      <c r="H5" t="s">
        <v>18</v>
      </c>
      <c r="I5" t="s">
        <v>19</v>
      </c>
      <c r="J5" t="b">
        <f>FALSE()</f>
        <v>0</v>
      </c>
      <c r="K5" t="b">
        <f>TRUE()</f>
        <v>1</v>
      </c>
      <c r="L5">
        <v>1.31143419077159E-6</v>
      </c>
      <c r="M5">
        <v>1.1634881780352099E-6</v>
      </c>
      <c r="N5">
        <v>1.11837223666229E-4</v>
      </c>
      <c r="O5">
        <v>1.9442423121984899E-5</v>
      </c>
      <c r="P5" t="s">
        <v>4</v>
      </c>
      <c r="Q5">
        <v>15</v>
      </c>
    </row>
    <row r="6" spans="1:17" x14ac:dyDescent="0.3">
      <c r="A6">
        <v>100</v>
      </c>
      <c r="B6">
        <v>100</v>
      </c>
      <c r="C6">
        <v>4</v>
      </c>
      <c r="D6" t="b">
        <f>TRUE()</f>
        <v>1</v>
      </c>
      <c r="E6">
        <v>20</v>
      </c>
      <c r="G6" t="s">
        <v>17</v>
      </c>
      <c r="H6" t="s">
        <v>18</v>
      </c>
      <c r="I6" t="s">
        <v>19</v>
      </c>
      <c r="J6" t="b">
        <f>FALSE()</f>
        <v>0</v>
      </c>
      <c r="K6" t="b">
        <f>TRUE()</f>
        <v>1</v>
      </c>
      <c r="L6">
        <v>3.7909385214629901E-5</v>
      </c>
      <c r="M6">
        <v>1.15034239619844E-5</v>
      </c>
      <c r="N6">
        <v>1.13257208283069E-4</v>
      </c>
      <c r="O6">
        <v>1.98849298067242E-5</v>
      </c>
      <c r="P6" t="s">
        <v>4</v>
      </c>
      <c r="Q6">
        <v>20</v>
      </c>
    </row>
    <row r="7" spans="1:17" x14ac:dyDescent="0.3">
      <c r="A7">
        <v>100</v>
      </c>
      <c r="B7">
        <v>100</v>
      </c>
      <c r="C7">
        <v>4</v>
      </c>
      <c r="D7" t="b">
        <f>TRUE()</f>
        <v>1</v>
      </c>
      <c r="E7">
        <v>25</v>
      </c>
      <c r="G7" t="s">
        <v>17</v>
      </c>
      <c r="H7" t="s">
        <v>18</v>
      </c>
      <c r="I7" t="s">
        <v>19</v>
      </c>
      <c r="J7" t="b">
        <f>FALSE()</f>
        <v>0</v>
      </c>
      <c r="K7" t="b">
        <f>TRUE()</f>
        <v>1</v>
      </c>
      <c r="L7">
        <v>2.20663818942722E-4</v>
      </c>
      <c r="M7">
        <v>7.7192265780235794E-5</v>
      </c>
      <c r="N7">
        <v>7.6407907978812998E-3</v>
      </c>
      <c r="O7">
        <v>1.8232057179317E-4</v>
      </c>
      <c r="P7" t="s">
        <v>4</v>
      </c>
      <c r="Q7">
        <v>25</v>
      </c>
    </row>
    <row r="8" spans="1:17" x14ac:dyDescent="0.3">
      <c r="A8">
        <v>100</v>
      </c>
      <c r="B8">
        <v>100</v>
      </c>
      <c r="C8">
        <v>4</v>
      </c>
      <c r="D8" t="b">
        <f>TRUE()</f>
        <v>1</v>
      </c>
      <c r="E8">
        <v>40</v>
      </c>
      <c r="G8" t="s">
        <v>17</v>
      </c>
      <c r="H8" t="s">
        <v>18</v>
      </c>
      <c r="I8" t="s">
        <v>19</v>
      </c>
      <c r="J8" t="b">
        <f>FALSE()</f>
        <v>0</v>
      </c>
      <c r="K8" t="b">
        <f>TRUE()</f>
        <v>1</v>
      </c>
      <c r="L8">
        <v>1.2314285012373499E-4</v>
      </c>
      <c r="M8">
        <v>6.7108486061014404E-5</v>
      </c>
      <c r="N8">
        <v>3.8557952152348099E-2</v>
      </c>
      <c r="O8">
        <v>8.4058592650903597E-4</v>
      </c>
      <c r="P8" t="s">
        <v>4</v>
      </c>
      <c r="Q8">
        <v>40</v>
      </c>
    </row>
    <row r="9" spans="1:17" x14ac:dyDescent="0.3">
      <c r="A9">
        <v>100</v>
      </c>
      <c r="B9">
        <v>100</v>
      </c>
      <c r="C9">
        <v>4</v>
      </c>
      <c r="D9" t="b">
        <f>TRUE()</f>
        <v>1</v>
      </c>
      <c r="E9">
        <v>50</v>
      </c>
      <c r="G9" t="s">
        <v>17</v>
      </c>
      <c r="H9" t="s">
        <v>18</v>
      </c>
      <c r="I9" t="s">
        <v>19</v>
      </c>
      <c r="J9" t="b">
        <f>FALSE()</f>
        <v>0</v>
      </c>
      <c r="K9" t="b">
        <f>TRUE()</f>
        <v>1</v>
      </c>
      <c r="L9">
        <v>3.1441263950749E-5</v>
      </c>
      <c r="M9">
        <v>1.4102223584607E-5</v>
      </c>
      <c r="N9">
        <v>6.1330221179640897E-2</v>
      </c>
      <c r="O9">
        <v>1.5846363059701101E-3</v>
      </c>
      <c r="P9" t="s">
        <v>4</v>
      </c>
      <c r="Q9">
        <v>50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"/>
  <sheetViews>
    <sheetView topLeftCell="J1" zoomScaleNormal="100" workbookViewId="0">
      <selection activeCell="R27" sqref="R27"/>
    </sheetView>
  </sheetViews>
  <sheetFormatPr defaultColWidth="8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4</v>
      </c>
      <c r="D2" t="b">
        <f>TRUE()</f>
        <v>1</v>
      </c>
      <c r="E2">
        <v>14</v>
      </c>
      <c r="F2">
        <v>5</v>
      </c>
      <c r="G2" t="s">
        <v>17</v>
      </c>
      <c r="H2" t="s">
        <v>18</v>
      </c>
      <c r="I2" t="s">
        <v>19</v>
      </c>
      <c r="J2" t="b">
        <f>FALSE()</f>
        <v>0</v>
      </c>
      <c r="K2" t="b">
        <f>TRUE()</f>
        <v>1</v>
      </c>
      <c r="L2">
        <v>9.57277070735888E-7</v>
      </c>
      <c r="M2">
        <v>9.1424079233395897E-7</v>
      </c>
      <c r="N2">
        <v>3.4110470428384402E-5</v>
      </c>
      <c r="O2">
        <v>6.3058168761926903E-6</v>
      </c>
      <c r="P2" t="s">
        <v>5</v>
      </c>
      <c r="Q2">
        <v>5</v>
      </c>
    </row>
    <row r="3" spans="1:17" x14ac:dyDescent="0.3">
      <c r="A3">
        <v>100</v>
      </c>
      <c r="B3">
        <v>100</v>
      </c>
      <c r="C3">
        <v>4</v>
      </c>
      <c r="D3" t="b">
        <f>TRUE()</f>
        <v>1</v>
      </c>
      <c r="E3">
        <v>14</v>
      </c>
      <c r="F3">
        <v>7</v>
      </c>
      <c r="G3" t="s">
        <v>17</v>
      </c>
      <c r="H3" t="s">
        <v>18</v>
      </c>
      <c r="I3" t="s">
        <v>19</v>
      </c>
      <c r="J3" t="b">
        <f>FALSE()</f>
        <v>0</v>
      </c>
      <c r="K3" t="b">
        <f>TRUE()</f>
        <v>1</v>
      </c>
      <c r="L3">
        <v>9.4346744636318E-7</v>
      </c>
      <c r="M3">
        <v>9.0259773105963797E-7</v>
      </c>
      <c r="N3">
        <v>3.8161656899720298E-5</v>
      </c>
      <c r="O3">
        <v>6.6099403353705002E-6</v>
      </c>
      <c r="P3" t="s">
        <v>5</v>
      </c>
      <c r="Q3">
        <v>7</v>
      </c>
    </row>
    <row r="4" spans="1:17" x14ac:dyDescent="0.3">
      <c r="A4">
        <v>100</v>
      </c>
      <c r="B4">
        <v>100</v>
      </c>
      <c r="C4">
        <v>4</v>
      </c>
      <c r="D4" t="b">
        <f>TRUE()</f>
        <v>1</v>
      </c>
      <c r="E4">
        <v>14</v>
      </c>
      <c r="F4">
        <v>10</v>
      </c>
      <c r="G4" t="s">
        <v>17</v>
      </c>
      <c r="H4" t="s">
        <v>18</v>
      </c>
      <c r="I4" t="s">
        <v>19</v>
      </c>
      <c r="J4" t="b">
        <f>FALSE()</f>
        <v>0</v>
      </c>
      <c r="K4" t="b">
        <f>TRUE()</f>
        <v>1</v>
      </c>
      <c r="L4">
        <v>9.4992171736927397E-7</v>
      </c>
      <c r="M4">
        <v>9.0903398007102299E-7</v>
      </c>
      <c r="N4">
        <v>3.6863553387572599E-5</v>
      </c>
      <c r="O4">
        <v>6.5364656021824199E-6</v>
      </c>
      <c r="P4" t="s">
        <v>5</v>
      </c>
      <c r="Q4">
        <v>10</v>
      </c>
    </row>
    <row r="5" spans="1:17" x14ac:dyDescent="0.3">
      <c r="A5">
        <v>100</v>
      </c>
      <c r="B5">
        <v>100</v>
      </c>
      <c r="C5">
        <v>4</v>
      </c>
      <c r="D5" t="b">
        <f>TRUE()</f>
        <v>1</v>
      </c>
      <c r="E5">
        <v>14</v>
      </c>
      <c r="F5">
        <v>15</v>
      </c>
      <c r="G5" t="s">
        <v>17</v>
      </c>
      <c r="H5" t="s">
        <v>18</v>
      </c>
      <c r="I5" t="s">
        <v>19</v>
      </c>
      <c r="J5" t="b">
        <f>FALSE()</f>
        <v>0</v>
      </c>
      <c r="K5" t="b">
        <f>TRUE()</f>
        <v>1</v>
      </c>
      <c r="L5">
        <v>9.5424643402481107E-7</v>
      </c>
      <c r="M5">
        <v>9.1164882644555295E-7</v>
      </c>
      <c r="N5">
        <v>3.9610464494572398E-5</v>
      </c>
      <c r="O5">
        <v>6.7800465097861596E-6</v>
      </c>
      <c r="P5" t="s">
        <v>5</v>
      </c>
      <c r="Q5">
        <v>15</v>
      </c>
    </row>
    <row r="6" spans="1:17" x14ac:dyDescent="0.3">
      <c r="A6">
        <v>100</v>
      </c>
      <c r="B6">
        <v>100</v>
      </c>
      <c r="C6">
        <v>4</v>
      </c>
      <c r="D6" t="b">
        <f>TRUE()</f>
        <v>1</v>
      </c>
      <c r="E6">
        <v>14</v>
      </c>
      <c r="F6">
        <v>20</v>
      </c>
      <c r="G6" t="s">
        <v>17</v>
      </c>
      <c r="H6" t="s">
        <v>18</v>
      </c>
      <c r="I6" t="s">
        <v>19</v>
      </c>
      <c r="J6" t="b">
        <f>FALSE()</f>
        <v>0</v>
      </c>
      <c r="K6" t="b">
        <f>TRUE()</f>
        <v>1</v>
      </c>
      <c r="L6">
        <v>9.4922363821505895E-7</v>
      </c>
      <c r="M6">
        <v>9.0620610988048305E-7</v>
      </c>
      <c r="N6">
        <v>4.0321836239554703E-5</v>
      </c>
      <c r="O6">
        <v>6.63788602883113E-6</v>
      </c>
      <c r="P6" t="s">
        <v>5</v>
      </c>
      <c r="Q6">
        <v>20</v>
      </c>
    </row>
    <row r="7" spans="1:17" x14ac:dyDescent="0.3">
      <c r="A7">
        <v>100</v>
      </c>
      <c r="B7">
        <v>100</v>
      </c>
      <c r="C7">
        <v>4</v>
      </c>
      <c r="D7" t="b">
        <f>TRUE()</f>
        <v>1</v>
      </c>
      <c r="E7">
        <v>14</v>
      </c>
      <c r="F7">
        <v>25</v>
      </c>
      <c r="G7" t="s">
        <v>17</v>
      </c>
      <c r="H7" t="s">
        <v>18</v>
      </c>
      <c r="I7" t="s">
        <v>19</v>
      </c>
      <c r="J7" t="b">
        <f>FALSE()</f>
        <v>0</v>
      </c>
      <c r="K7" t="b">
        <f>TRUE()</f>
        <v>1</v>
      </c>
      <c r="L7">
        <v>9.5455652348609493E-7</v>
      </c>
      <c r="M7">
        <v>9.1328066564696404E-7</v>
      </c>
      <c r="N7">
        <v>3.7803209643171499E-5</v>
      </c>
      <c r="O7">
        <v>6.6343500260794798E-6</v>
      </c>
      <c r="P7" t="s">
        <v>5</v>
      </c>
      <c r="Q7">
        <v>25</v>
      </c>
    </row>
    <row r="8" spans="1:17" x14ac:dyDescent="0.3">
      <c r="A8">
        <v>100</v>
      </c>
      <c r="B8">
        <v>100</v>
      </c>
      <c r="C8">
        <v>4</v>
      </c>
      <c r="D8" t="b">
        <f>TRUE()</f>
        <v>1</v>
      </c>
      <c r="E8">
        <v>14</v>
      </c>
      <c r="F8">
        <v>40</v>
      </c>
      <c r="G8" t="s">
        <v>17</v>
      </c>
      <c r="H8" t="s">
        <v>18</v>
      </c>
      <c r="I8" t="s">
        <v>19</v>
      </c>
      <c r="J8" t="b">
        <f>FALSE()</f>
        <v>0</v>
      </c>
      <c r="K8" t="b">
        <f>TRUE()</f>
        <v>1</v>
      </c>
      <c r="L8">
        <v>9.5066415935864303E-7</v>
      </c>
      <c r="M8">
        <v>9.1065072840675296E-7</v>
      </c>
      <c r="N8">
        <v>3.6400289607114803E-5</v>
      </c>
      <c r="O8">
        <v>6.5574962958403102E-6</v>
      </c>
      <c r="P8" t="s">
        <v>5</v>
      </c>
      <c r="Q8">
        <v>40</v>
      </c>
    </row>
    <row r="9" spans="1:17" x14ac:dyDescent="0.3">
      <c r="A9">
        <v>100</v>
      </c>
      <c r="B9">
        <v>100</v>
      </c>
      <c r="C9">
        <v>4</v>
      </c>
      <c r="D9" t="b">
        <f>TRUE()</f>
        <v>1</v>
      </c>
      <c r="E9">
        <v>14</v>
      </c>
      <c r="F9">
        <v>50</v>
      </c>
      <c r="G9" t="s">
        <v>17</v>
      </c>
      <c r="H9" t="s">
        <v>18</v>
      </c>
      <c r="I9" t="s">
        <v>19</v>
      </c>
      <c r="J9" t="b">
        <f>FALSE()</f>
        <v>0</v>
      </c>
      <c r="K9" t="b">
        <f>TRUE()</f>
        <v>1</v>
      </c>
      <c r="L9">
        <v>9.5501198483127795E-7</v>
      </c>
      <c r="M9">
        <v>9.1451566457622302E-7</v>
      </c>
      <c r="N9">
        <v>3.4172603880536997E-5</v>
      </c>
      <c r="O9">
        <v>6.3799052174043399E-6</v>
      </c>
      <c r="P9" t="s">
        <v>5</v>
      </c>
      <c r="Q9">
        <v>50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4"/>
  <sheetViews>
    <sheetView zoomScaleNormal="100" workbookViewId="0">
      <selection activeCell="H13" sqref="H13"/>
    </sheetView>
  </sheetViews>
  <sheetFormatPr defaultColWidth="8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4</v>
      </c>
      <c r="D2" t="b">
        <f>TRUE()</f>
        <v>1</v>
      </c>
      <c r="E2">
        <v>14</v>
      </c>
      <c r="G2" t="s">
        <v>17</v>
      </c>
      <c r="H2" t="s">
        <v>22</v>
      </c>
      <c r="I2" t="s">
        <v>19</v>
      </c>
      <c r="J2" t="b">
        <f>FALSE()</f>
        <v>0</v>
      </c>
      <c r="K2" t="b">
        <f>TRUE()</f>
        <v>1</v>
      </c>
      <c r="L2">
        <v>5.9599857480991099E-7</v>
      </c>
      <c r="M2">
        <v>5.9908648224828304E-7</v>
      </c>
      <c r="N2">
        <v>9.1305169918188997E-5</v>
      </c>
      <c r="O2">
        <v>1.6313475702578299E-5</v>
      </c>
      <c r="P2" t="s">
        <v>23</v>
      </c>
      <c r="Q2" t="s">
        <v>22</v>
      </c>
    </row>
    <row r="3" spans="1:17" x14ac:dyDescent="0.3">
      <c r="A3">
        <v>100</v>
      </c>
      <c r="B3">
        <v>100</v>
      </c>
      <c r="C3">
        <v>4</v>
      </c>
      <c r="D3" t="b">
        <f>TRUE()</f>
        <v>1</v>
      </c>
      <c r="E3">
        <v>14</v>
      </c>
      <c r="G3" t="s">
        <v>17</v>
      </c>
      <c r="H3" t="s">
        <v>24</v>
      </c>
      <c r="I3" t="s">
        <v>19</v>
      </c>
      <c r="J3" t="b">
        <f>FALSE()</f>
        <v>0</v>
      </c>
      <c r="K3" t="b">
        <f>TRUE()</f>
        <v>1</v>
      </c>
      <c r="L3">
        <v>5.6468142039230999E-7</v>
      </c>
      <c r="M3">
        <v>5.6461835581120001E-7</v>
      </c>
      <c r="N3">
        <v>7.9646460924551906E-5</v>
      </c>
      <c r="O3">
        <v>1.51186952024691E-5</v>
      </c>
      <c r="P3" t="s">
        <v>23</v>
      </c>
      <c r="Q3" t="s">
        <v>24</v>
      </c>
    </row>
    <row r="4" spans="1:17" x14ac:dyDescent="0.3">
      <c r="A4">
        <v>100</v>
      </c>
      <c r="B4">
        <v>100</v>
      </c>
      <c r="C4">
        <v>4</v>
      </c>
      <c r="D4" t="b">
        <f>TRUE()</f>
        <v>1</v>
      </c>
      <c r="E4">
        <v>14</v>
      </c>
      <c r="G4" t="s">
        <v>17</v>
      </c>
      <c r="H4" t="s">
        <v>25</v>
      </c>
      <c r="I4" t="s">
        <v>19</v>
      </c>
      <c r="J4" t="b">
        <f>FALSE()</f>
        <v>0</v>
      </c>
      <c r="K4" t="b">
        <f>TRUE()</f>
        <v>1</v>
      </c>
      <c r="L4">
        <v>1.0693189742063E-6</v>
      </c>
      <c r="M4">
        <v>9.8121292636844695E-7</v>
      </c>
      <c r="N4">
        <v>5.0501200059246001E-5</v>
      </c>
      <c r="O4">
        <v>1.4091826318878999E-5</v>
      </c>
      <c r="P4" t="s">
        <v>23</v>
      </c>
      <c r="Q4" t="s">
        <v>25</v>
      </c>
    </row>
    <row r="5" spans="1:17" x14ac:dyDescent="0.3">
      <c r="A5">
        <v>100</v>
      </c>
      <c r="B5">
        <v>100</v>
      </c>
      <c r="C5">
        <v>4</v>
      </c>
      <c r="D5" t="b">
        <f>TRUE()</f>
        <v>1</v>
      </c>
      <c r="E5">
        <v>14</v>
      </c>
      <c r="G5" t="s">
        <v>17</v>
      </c>
      <c r="H5" t="s">
        <v>26</v>
      </c>
      <c r="I5" t="s">
        <v>19</v>
      </c>
      <c r="J5" t="b">
        <f>FALSE()</f>
        <v>0</v>
      </c>
      <c r="K5" t="b">
        <f>TRUE()</f>
        <v>1</v>
      </c>
      <c r="L5">
        <v>9.4476532420440804E-7</v>
      </c>
      <c r="M5">
        <v>8.5846910193879399E-7</v>
      </c>
      <c r="N5">
        <v>6.2556255511656106E-5</v>
      </c>
      <c r="O5">
        <v>1.42284801186602E-5</v>
      </c>
      <c r="P5" t="s">
        <v>23</v>
      </c>
      <c r="Q5" t="s">
        <v>26</v>
      </c>
    </row>
    <row r="6" spans="1:17" x14ac:dyDescent="0.3">
      <c r="A6">
        <v>100</v>
      </c>
      <c r="B6">
        <v>100</v>
      </c>
      <c r="C6">
        <v>4</v>
      </c>
      <c r="D6" t="b">
        <f>TRUE()</f>
        <v>1</v>
      </c>
      <c r="E6">
        <v>14</v>
      </c>
      <c r="G6" t="s">
        <v>17</v>
      </c>
      <c r="H6" t="s">
        <v>27</v>
      </c>
      <c r="I6" t="s">
        <v>19</v>
      </c>
      <c r="J6" t="b">
        <f>FALSE()</f>
        <v>0</v>
      </c>
      <c r="K6" t="b">
        <f>TRUE()</f>
        <v>1</v>
      </c>
      <c r="L6">
        <v>5.9583947810183002E-7</v>
      </c>
      <c r="M6">
        <v>5.99101411178344E-7</v>
      </c>
      <c r="N6">
        <v>9.1303955203335201E-5</v>
      </c>
      <c r="O6">
        <v>1.6312091799862399E-5</v>
      </c>
      <c r="P6" t="s">
        <v>23</v>
      </c>
      <c r="Q6" t="s">
        <v>27</v>
      </c>
    </row>
    <row r="7" spans="1:17" x14ac:dyDescent="0.3">
      <c r="A7">
        <v>100</v>
      </c>
      <c r="B7">
        <v>100</v>
      </c>
      <c r="C7">
        <v>4</v>
      </c>
      <c r="D7" t="b">
        <f>TRUE()</f>
        <v>1</v>
      </c>
      <c r="E7">
        <v>14</v>
      </c>
      <c r="G7" t="s">
        <v>17</v>
      </c>
      <c r="H7" t="s">
        <v>28</v>
      </c>
      <c r="I7" t="s">
        <v>19</v>
      </c>
      <c r="J7" t="b">
        <f>FALSE()</f>
        <v>0</v>
      </c>
      <c r="K7" t="b">
        <f>TRUE()</f>
        <v>1</v>
      </c>
      <c r="L7">
        <v>7.9530948267147501E-7</v>
      </c>
      <c r="M7">
        <v>7.8303649450597798E-7</v>
      </c>
      <c r="N7">
        <v>9.9909136226113094E-5</v>
      </c>
      <c r="O7">
        <v>1.7481994601628E-5</v>
      </c>
      <c r="P7" t="s">
        <v>23</v>
      </c>
      <c r="Q7" t="s">
        <v>28</v>
      </c>
    </row>
    <row r="8" spans="1:17" x14ac:dyDescent="0.3">
      <c r="A8">
        <v>100</v>
      </c>
      <c r="B8">
        <v>100</v>
      </c>
      <c r="C8">
        <v>4</v>
      </c>
      <c r="D8" t="b">
        <f>TRUE()</f>
        <v>1</v>
      </c>
      <c r="E8">
        <v>14</v>
      </c>
      <c r="G8" t="s">
        <v>17</v>
      </c>
      <c r="H8" t="s">
        <v>29</v>
      </c>
      <c r="I8" t="s">
        <v>19</v>
      </c>
      <c r="J8" t="b">
        <f>FALSE()</f>
        <v>0</v>
      </c>
      <c r="K8" t="b">
        <f>TRUE()</f>
        <v>1</v>
      </c>
      <c r="L8">
        <v>1.0677426166167799E-6</v>
      </c>
      <c r="M8">
        <v>1.0506537003472301E-6</v>
      </c>
      <c r="N8">
        <v>1.0911349320304301E-4</v>
      </c>
      <c r="O8">
        <v>1.8961401110997E-5</v>
      </c>
      <c r="P8" t="s">
        <v>23</v>
      </c>
      <c r="Q8" t="s">
        <v>29</v>
      </c>
    </row>
    <row r="9" spans="1:17" x14ac:dyDescent="0.3">
      <c r="A9">
        <v>100</v>
      </c>
      <c r="B9">
        <v>100</v>
      </c>
      <c r="C9">
        <v>4</v>
      </c>
      <c r="D9" t="b">
        <f>TRUE()</f>
        <v>1</v>
      </c>
      <c r="E9">
        <v>14</v>
      </c>
      <c r="G9" t="s">
        <v>17</v>
      </c>
      <c r="H9" t="s">
        <v>30</v>
      </c>
      <c r="I9" t="s">
        <v>19</v>
      </c>
      <c r="J9" t="b">
        <f>FALSE()</f>
        <v>0</v>
      </c>
      <c r="K9" t="b">
        <f>TRUE()</f>
        <v>1</v>
      </c>
      <c r="L9">
        <v>1.1121231752371301E-6</v>
      </c>
      <c r="M9">
        <v>1.09302428588996E-6</v>
      </c>
      <c r="N9">
        <v>1.10467634316683E-4</v>
      </c>
      <c r="O9">
        <v>1.9195577638940202E-5</v>
      </c>
      <c r="P9" t="s">
        <v>23</v>
      </c>
      <c r="Q9" t="s">
        <v>30</v>
      </c>
    </row>
    <row r="10" spans="1:17" x14ac:dyDescent="0.3">
      <c r="A10">
        <v>100</v>
      </c>
      <c r="B10">
        <v>100</v>
      </c>
      <c r="C10">
        <v>4</v>
      </c>
      <c r="D10" t="b">
        <f>TRUE()</f>
        <v>1</v>
      </c>
      <c r="E10">
        <v>14</v>
      </c>
      <c r="G10" t="s">
        <v>17</v>
      </c>
      <c r="H10" t="s">
        <v>31</v>
      </c>
      <c r="I10" t="s">
        <v>19</v>
      </c>
      <c r="J10" t="b">
        <f>FALSE()</f>
        <v>0</v>
      </c>
      <c r="K10" t="b">
        <f>TRUE()</f>
        <v>1</v>
      </c>
      <c r="L10">
        <v>1.15145541799718E-6</v>
      </c>
      <c r="M10">
        <v>1.1302201072340401E-6</v>
      </c>
      <c r="N10">
        <v>1.11588360561863E-4</v>
      </c>
      <c r="O10">
        <v>1.93925747618569E-5</v>
      </c>
      <c r="P10" t="s">
        <v>23</v>
      </c>
      <c r="Q10" t="s">
        <v>31</v>
      </c>
    </row>
    <row r="11" spans="1:17" x14ac:dyDescent="0.3">
      <c r="A11">
        <v>100</v>
      </c>
      <c r="B11">
        <v>100</v>
      </c>
      <c r="C11">
        <v>4</v>
      </c>
      <c r="D11" t="b">
        <f>TRUE()</f>
        <v>1</v>
      </c>
      <c r="E11">
        <v>14</v>
      </c>
      <c r="G11" t="s">
        <v>17</v>
      </c>
      <c r="H11" t="s">
        <v>32</v>
      </c>
      <c r="I11" t="s">
        <v>19</v>
      </c>
      <c r="J11" t="b">
        <f>FALSE()</f>
        <v>0</v>
      </c>
      <c r="K11" t="b">
        <f>TRUE()</f>
        <v>1</v>
      </c>
      <c r="L11">
        <v>1.15773003686439E-6</v>
      </c>
      <c r="M11">
        <v>1.13675725741171E-6</v>
      </c>
      <c r="N11">
        <v>1.11730880559578E-4</v>
      </c>
      <c r="O11">
        <v>1.9417829013564401E-5</v>
      </c>
      <c r="P11" t="s">
        <v>23</v>
      </c>
      <c r="Q11" t="s">
        <v>32</v>
      </c>
    </row>
    <row r="12" spans="1:17" x14ac:dyDescent="0.3">
      <c r="A12">
        <v>100</v>
      </c>
      <c r="B12">
        <v>100</v>
      </c>
      <c r="C12">
        <v>4</v>
      </c>
      <c r="D12" t="b">
        <f>TRUE()</f>
        <v>1</v>
      </c>
      <c r="E12">
        <v>14</v>
      </c>
      <c r="G12" t="s">
        <v>17</v>
      </c>
      <c r="H12" t="s">
        <v>33</v>
      </c>
      <c r="I12" t="s">
        <v>19</v>
      </c>
      <c r="J12" t="b">
        <f>FALSE()</f>
        <v>0</v>
      </c>
      <c r="K12" t="b">
        <f>TRUE()</f>
        <v>1</v>
      </c>
      <c r="L12">
        <v>1.16956949967203E-6</v>
      </c>
      <c r="M12">
        <v>1.14656451180711E-6</v>
      </c>
      <c r="N12">
        <v>1.11845287912025E-4</v>
      </c>
      <c r="O12">
        <v>1.9438134934549902E-5</v>
      </c>
      <c r="P12" t="s">
        <v>23</v>
      </c>
      <c r="Q12" t="s">
        <v>33</v>
      </c>
    </row>
    <row r="13" spans="1:17" x14ac:dyDescent="0.3">
      <c r="A13">
        <v>100</v>
      </c>
      <c r="B13">
        <v>100</v>
      </c>
      <c r="C13">
        <v>4</v>
      </c>
      <c r="D13" t="b">
        <f>TRUE()</f>
        <v>1</v>
      </c>
      <c r="E13">
        <v>14</v>
      </c>
      <c r="G13" t="s">
        <v>17</v>
      </c>
      <c r="H13" t="s">
        <v>34</v>
      </c>
      <c r="I13" t="s">
        <v>19</v>
      </c>
      <c r="J13" t="b">
        <f>FALSE()</f>
        <v>0</v>
      </c>
      <c r="K13" t="b">
        <f>TRUE()</f>
        <v>1</v>
      </c>
      <c r="L13">
        <v>1.17339110852878E-6</v>
      </c>
      <c r="M13">
        <v>1.1489241768933099E-6</v>
      </c>
      <c r="N13">
        <v>1.11859603923144E-4</v>
      </c>
      <c r="O13">
        <v>1.9440677779024501E-5</v>
      </c>
      <c r="P13" t="s">
        <v>23</v>
      </c>
      <c r="Q13" t="s">
        <v>34</v>
      </c>
    </row>
    <row r="14" spans="1:17" x14ac:dyDescent="0.3">
      <c r="A14">
        <v>100</v>
      </c>
      <c r="B14">
        <v>100</v>
      </c>
      <c r="C14">
        <v>4</v>
      </c>
      <c r="D14" t="b">
        <f>TRUE()</f>
        <v>1</v>
      </c>
      <c r="E14">
        <v>14</v>
      </c>
      <c r="G14" t="s">
        <v>17</v>
      </c>
      <c r="H14" t="s">
        <v>35</v>
      </c>
      <c r="I14" t="s">
        <v>19</v>
      </c>
      <c r="J14" t="b">
        <f>FALSE()</f>
        <v>0</v>
      </c>
      <c r="K14" t="b">
        <f>TRUE()</f>
        <v>1</v>
      </c>
      <c r="L14">
        <v>1.1776858555046999E-6</v>
      </c>
      <c r="M14">
        <v>1.1514161854001001E-6</v>
      </c>
      <c r="N14">
        <v>1.1187106573465E-4</v>
      </c>
      <c r="O14">
        <v>1.9442711908406399E-5</v>
      </c>
      <c r="P14" t="s">
        <v>23</v>
      </c>
      <c r="Q14" t="s">
        <v>35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"/>
  <sheetViews>
    <sheetView topLeftCell="H1" zoomScaleNormal="100" workbookViewId="0"/>
  </sheetViews>
  <sheetFormatPr defaultColWidth="8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4</v>
      </c>
      <c r="D2" t="b">
        <f>TRUE()</f>
        <v>1</v>
      </c>
      <c r="E2">
        <v>14</v>
      </c>
      <c r="G2" t="s">
        <v>17</v>
      </c>
      <c r="H2" t="s">
        <v>18</v>
      </c>
      <c r="I2" t="s">
        <v>36</v>
      </c>
      <c r="J2" t="b">
        <f>FALSE()</f>
        <v>0</v>
      </c>
      <c r="K2" t="b">
        <f>TRUE()</f>
        <v>1</v>
      </c>
      <c r="L2">
        <v>1.16958973790039E-6</v>
      </c>
      <c r="M2">
        <v>1.1480880725769099E-6</v>
      </c>
      <c r="N2">
        <v>1.11845288367138E-4</v>
      </c>
      <c r="O2">
        <v>1.9442332789193702E-5</v>
      </c>
      <c r="P2" t="s">
        <v>37</v>
      </c>
      <c r="Q2" t="s">
        <v>36</v>
      </c>
    </row>
    <row r="3" spans="1:17" x14ac:dyDescent="0.3">
      <c r="A3">
        <v>100</v>
      </c>
      <c r="B3">
        <v>100</v>
      </c>
      <c r="C3">
        <v>4</v>
      </c>
      <c r="D3" t="b">
        <f>TRUE()</f>
        <v>1</v>
      </c>
      <c r="E3">
        <v>14</v>
      </c>
      <c r="G3" t="s">
        <v>17</v>
      </c>
      <c r="H3" t="s">
        <v>18</v>
      </c>
      <c r="I3" t="s">
        <v>38</v>
      </c>
      <c r="J3" t="b">
        <f>FALSE()</f>
        <v>0</v>
      </c>
      <c r="K3" t="b">
        <f>TRUE()</f>
        <v>1</v>
      </c>
      <c r="L3">
        <v>6.4438281821817603E-4</v>
      </c>
      <c r="M3">
        <v>5.9807021600287804E-4</v>
      </c>
      <c r="N3">
        <v>9.6641390814063903E-4</v>
      </c>
      <c r="O3">
        <v>6.2641954919942402E-4</v>
      </c>
      <c r="P3" t="s">
        <v>37</v>
      </c>
      <c r="Q3" t="s">
        <v>38</v>
      </c>
    </row>
    <row r="4" spans="1:17" x14ac:dyDescent="0.3">
      <c r="A4">
        <v>100</v>
      </c>
      <c r="B4">
        <v>100</v>
      </c>
      <c r="C4">
        <v>4</v>
      </c>
      <c r="D4" t="b">
        <f>TRUE()</f>
        <v>1</v>
      </c>
      <c r="E4">
        <v>14</v>
      </c>
      <c r="G4" t="s">
        <v>17</v>
      </c>
      <c r="H4" t="s">
        <v>18</v>
      </c>
      <c r="I4" t="s">
        <v>39</v>
      </c>
      <c r="J4" t="b">
        <f>FALSE()</f>
        <v>0</v>
      </c>
      <c r="K4" t="b">
        <f>TRUE()</f>
        <v>1</v>
      </c>
      <c r="L4">
        <v>3.57655531361413E-4</v>
      </c>
      <c r="M4">
        <v>3.1977347458317699E-4</v>
      </c>
      <c r="N4">
        <v>9.7466854363965395E-4</v>
      </c>
      <c r="O4">
        <v>6.2598191707310296E-4</v>
      </c>
      <c r="P4" t="s">
        <v>37</v>
      </c>
      <c r="Q4" t="s">
        <v>39</v>
      </c>
    </row>
    <row r="5" spans="1:17" x14ac:dyDescent="0.3">
      <c r="A5">
        <v>100</v>
      </c>
      <c r="B5">
        <v>100</v>
      </c>
      <c r="C5">
        <v>4</v>
      </c>
      <c r="D5" t="b">
        <f>TRUE()</f>
        <v>1</v>
      </c>
      <c r="E5">
        <v>14</v>
      </c>
      <c r="G5" t="s">
        <v>17</v>
      </c>
      <c r="H5" t="s">
        <v>18</v>
      </c>
      <c r="I5" t="s">
        <v>40</v>
      </c>
      <c r="J5" t="b">
        <f>FALSE()</f>
        <v>0</v>
      </c>
      <c r="K5" t="b">
        <f>TRUE()</f>
        <v>1</v>
      </c>
      <c r="L5">
        <v>6.51102735212272E-4</v>
      </c>
      <c r="M5">
        <v>6.0203318495242802E-4</v>
      </c>
      <c r="N5">
        <v>9.6697660802926196E-4</v>
      </c>
      <c r="O5">
        <v>6.2813456502281795E-4</v>
      </c>
      <c r="P5" t="s">
        <v>37</v>
      </c>
      <c r="Q5" t="s">
        <v>40</v>
      </c>
    </row>
    <row r="6" spans="1:17" x14ac:dyDescent="0.3">
      <c r="A6">
        <v>100</v>
      </c>
      <c r="B6">
        <v>100</v>
      </c>
      <c r="C6">
        <v>4</v>
      </c>
      <c r="D6" t="b">
        <f>TRUE()</f>
        <v>1</v>
      </c>
      <c r="E6">
        <v>14</v>
      </c>
      <c r="G6" t="s">
        <v>17</v>
      </c>
      <c r="H6" t="s">
        <v>18</v>
      </c>
      <c r="I6" t="s">
        <v>19</v>
      </c>
      <c r="J6" t="b">
        <f>FALSE()</f>
        <v>0</v>
      </c>
      <c r="K6" t="b">
        <f>TRUE()</f>
        <v>1</v>
      </c>
      <c r="L6">
        <v>1.16956949967203E-6</v>
      </c>
      <c r="M6">
        <v>1.14656451180711E-6</v>
      </c>
      <c r="N6">
        <v>1.11845287912025E-4</v>
      </c>
      <c r="O6">
        <v>1.9438134934549902E-5</v>
      </c>
      <c r="P6" t="s">
        <v>37</v>
      </c>
      <c r="Q6" t="s">
        <v>19</v>
      </c>
    </row>
    <row r="7" spans="1:17" x14ac:dyDescent="0.3">
      <c r="A7">
        <v>100</v>
      </c>
      <c r="B7">
        <v>100</v>
      </c>
      <c r="C7">
        <v>4</v>
      </c>
      <c r="D7" t="b">
        <f>TRUE()</f>
        <v>1</v>
      </c>
      <c r="E7">
        <v>14</v>
      </c>
      <c r="G7" t="s">
        <v>17</v>
      </c>
      <c r="H7" t="s">
        <v>18</v>
      </c>
      <c r="I7" t="s">
        <v>41</v>
      </c>
      <c r="J7" t="b">
        <f>FALSE()</f>
        <v>0</v>
      </c>
      <c r="K7" t="b">
        <f>TRUE()</f>
        <v>1</v>
      </c>
      <c r="L7">
        <v>1.23151113265056E-3</v>
      </c>
      <c r="M7">
        <v>1.22361003946656E-3</v>
      </c>
      <c r="N7">
        <v>1.2187829746522401E-3</v>
      </c>
      <c r="O7">
        <v>8.9556775656227203E-4</v>
      </c>
      <c r="P7" t="s">
        <v>37</v>
      </c>
      <c r="Q7" t="s">
        <v>41</v>
      </c>
    </row>
    <row r="8" spans="1:17" x14ac:dyDescent="0.3">
      <c r="A8">
        <v>100</v>
      </c>
      <c r="B8">
        <v>100</v>
      </c>
      <c r="C8">
        <v>4</v>
      </c>
      <c r="D8" t="b">
        <f>TRUE()</f>
        <v>1</v>
      </c>
      <c r="E8">
        <v>14</v>
      </c>
      <c r="G8" t="s">
        <v>17</v>
      </c>
      <c r="H8" t="s">
        <v>18</v>
      </c>
      <c r="I8" t="s">
        <v>42</v>
      </c>
      <c r="J8" t="b">
        <f>FALSE()</f>
        <v>0</v>
      </c>
      <c r="K8" t="b">
        <f>TRUE()</f>
        <v>1</v>
      </c>
      <c r="L8">
        <v>1.5475007836957501E-3</v>
      </c>
      <c r="M8">
        <v>1.5667518211683799E-3</v>
      </c>
      <c r="N8">
        <v>1.1638207413800299E-3</v>
      </c>
      <c r="O8">
        <v>9.0849255397988096E-4</v>
      </c>
      <c r="P8" t="s">
        <v>37</v>
      </c>
      <c r="Q8" t="s">
        <v>42</v>
      </c>
    </row>
    <row r="9" spans="1:17" x14ac:dyDescent="0.3">
      <c r="A9">
        <v>100</v>
      </c>
      <c r="B9">
        <v>100</v>
      </c>
      <c r="C9">
        <v>4</v>
      </c>
      <c r="D9" t="b">
        <f>TRUE()</f>
        <v>1</v>
      </c>
      <c r="E9">
        <v>14</v>
      </c>
      <c r="G9" t="s">
        <v>17</v>
      </c>
      <c r="H9" t="s">
        <v>18</v>
      </c>
      <c r="I9" t="s">
        <v>43</v>
      </c>
      <c r="J9" t="b">
        <f>FALSE()</f>
        <v>0</v>
      </c>
      <c r="K9" t="b">
        <f>TRUE()</f>
        <v>1</v>
      </c>
      <c r="L9">
        <v>1.2348979141192E-3</v>
      </c>
      <c r="M9">
        <v>1.22230794401398E-3</v>
      </c>
      <c r="N9">
        <v>1.2187917951485001E-3</v>
      </c>
      <c r="O9">
        <v>8.9326667512839805E-4</v>
      </c>
      <c r="P9" t="s">
        <v>37</v>
      </c>
      <c r="Q9" t="s">
        <v>43</v>
      </c>
    </row>
    <row r="10" spans="1:17" x14ac:dyDescent="0.3">
      <c r="A10">
        <v>100</v>
      </c>
      <c r="B10">
        <v>100</v>
      </c>
      <c r="C10">
        <v>4</v>
      </c>
      <c r="D10" t="b">
        <f>TRUE()</f>
        <v>1</v>
      </c>
      <c r="E10">
        <v>14</v>
      </c>
      <c r="G10" t="s">
        <v>17</v>
      </c>
      <c r="H10" t="s">
        <v>18</v>
      </c>
      <c r="I10" t="s">
        <v>44</v>
      </c>
      <c r="J10" t="b">
        <f>FALSE()</f>
        <v>0</v>
      </c>
      <c r="K10" t="b">
        <f>TRUE()</f>
        <v>1</v>
      </c>
      <c r="L10">
        <v>1.16958973790039E-6</v>
      </c>
      <c r="M10">
        <v>1.148088072565E-6</v>
      </c>
      <c r="N10">
        <v>1.11845288367165E-4</v>
      </c>
      <c r="O10">
        <v>1.9442332789193E-5</v>
      </c>
      <c r="P10" t="s">
        <v>37</v>
      </c>
      <c r="Q10" t="s">
        <v>44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Grid Size</vt:lpstr>
      <vt:lpstr>Length Scale</vt:lpstr>
      <vt:lpstr>Stencil Nodes</vt:lpstr>
      <vt:lpstr>Center</vt:lpstr>
      <vt:lpstr>Eigenvalue Ratio</vt:lpstr>
      <vt:lpstr>Eigenvector Angle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Dennis Corraliza</cp:lastModifiedBy>
  <cp:revision>1</cp:revision>
  <dcterms:created xsi:type="dcterms:W3CDTF">2026-10-02T02:36:02Z</dcterms:created>
  <dcterms:modified xsi:type="dcterms:W3CDTF">2026-10-02T04:26:17Z</dcterms:modified>
  <dc:language>en-US</dc:language>
</cp:coreProperties>
</file>